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Selected 10" sheetId="2" state="visible" r:id="rId2"/>
    <sheet xmlns:r="http://schemas.openxmlformats.org/officeDocument/2006/relationships" name="Eligible 132" sheetId="3" state="visible" r:id="rId3"/>
    <sheet xmlns:r="http://schemas.openxmlformats.org/officeDocument/2006/relationships" name="Ranked Candidates" sheetId="4" state="visible" r:id="rId4"/>
    <sheet xmlns:r="http://schemas.openxmlformats.org/officeDocument/2006/relationships" name="Sources" sheetId="5" state="visible" r:id="rId5"/>
  </sheets>
  <definedNames>
    <definedName name="_xlnm._FilterDatabase" localSheetId="1" hidden="1">'Selected 10'!$A$1:$L$11</definedName>
    <definedName name="_xlnm._FilterDatabase" localSheetId="2" hidden="1">'Eligible 132'!$A$1:$H$133</definedName>
    <definedName name="_xlnm._FilterDatabase" localSheetId="3" hidden="1">'Ranked Candidates'!$A$1:$I$31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FFFFFF"/>
    </font>
    <font>
      <color rgb="00666666"/>
    </font>
    <font>
      <color rgb="00000000"/>
    </font>
    <font>
      <color rgb="00008000"/>
      <sz val="9"/>
    </font>
    <font>
      <color rgb="00000000"/>
      <sz val="9"/>
    </font>
    <font>
      <sz val="9"/>
    </font>
    <font>
      <color rgb="00008000"/>
      <sz val="8"/>
    </font>
    <font>
      <b val="1"/>
    </font>
  </fonts>
  <fills count="6">
    <fill>
      <patternFill/>
    </fill>
    <fill>
      <patternFill patternType="gray125"/>
    </fill>
    <fill>
      <patternFill patternType="solid">
        <fgColor rgb="0017324D"/>
      </patternFill>
    </fill>
    <fill>
      <patternFill patternType="solid">
        <fgColor rgb="00177E89"/>
      </patternFill>
    </fill>
    <fill>
      <patternFill patternType="solid">
        <fgColor rgb="00E2F0D9"/>
      </patternFill>
    </fill>
    <fill>
      <patternFill patternType="solid">
        <fgColor rgb="00E4DFE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applyAlignment="1" pivotButton="0" quotePrefix="0" xfId="0">
      <alignment horizontal="center" vertical="center" wrapText="1"/>
    </xf>
    <xf numFmtId="0" fontId="3" fillId="0" borderId="0" pivotButton="0" quotePrefix="0" xfId="0"/>
    <xf numFmtId="0" fontId="0" fillId="4" borderId="0" pivotButton="0" quotePrefix="0" xfId="0"/>
    <xf numFmtId="0" fontId="4" fillId="0" borderId="0" pivotButton="0" quotePrefix="0" xfId="0"/>
    <xf numFmtId="0" fontId="5" fillId="0" borderId="0" applyAlignment="1" pivotButton="0" quotePrefix="0" xfId="0">
      <alignment horizontal="left" vertical="center"/>
    </xf>
    <xf numFmtId="2" fontId="5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2" fontId="6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left"/>
    </xf>
    <xf numFmtId="0" fontId="5" fillId="0" borderId="0" applyAlignment="1" pivotButton="0" quotePrefix="0" xfId="0">
      <alignment horizontal="center"/>
    </xf>
    <xf numFmtId="2" fontId="5" fillId="0" borderId="0" applyAlignment="1" pivotButton="0" quotePrefix="0" xfId="0">
      <alignment horizontal="center"/>
    </xf>
    <xf numFmtId="0" fontId="6" fillId="0" borderId="0" applyAlignment="1" pivotButton="0" quotePrefix="0" xfId="0">
      <alignment horizontal="center"/>
    </xf>
    <xf numFmtId="0" fontId="7" fillId="0" borderId="0" applyAlignment="1" pivotButton="0" quotePrefix="0" xfId="0">
      <alignment horizontal="left"/>
    </xf>
    <xf numFmtId="0" fontId="7" fillId="0" borderId="0" applyAlignment="1" pivotButton="0" quotePrefix="0" xfId="0">
      <alignment horizontal="center"/>
    </xf>
    <xf numFmtId="2" fontId="7" fillId="0" borderId="0" applyAlignment="1" pivotButton="0" quotePrefix="0" xfId="0">
      <alignment horizontal="center"/>
    </xf>
    <xf numFmtId="0" fontId="8" fillId="0" borderId="0" applyAlignment="1" pivotButton="0" quotePrefix="0" xfId="0">
      <alignment vertical="top" wrapText="1"/>
    </xf>
    <xf numFmtId="0" fontId="9" fillId="5" borderId="0" pivotButton="0" quotePrefix="0" xfId="0"/>
    <xf numFmtId="0" fontId="0" fillId="5" borderId="0" applyAlignment="1" pivotButton="0" quotePrefix="0" xfId="0">
      <alignment vertical="top" wrapText="1"/>
    </xf>
  </cellXfs>
  <cellStyles count="1">
    <cellStyle name="Normal" xfId="0" builtinId="0" hidden="0"/>
  </cellStyles>
  <dxfs count="1">
    <dxf>
      <fill>
        <patternFill patternType="solid">
          <fgColor rgb="00E2F0D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Selected Subjects by Age Band and Sex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'Summary'!B15</f>
            </strRef>
          </tx>
          <spPr>
            <a:ln xmlns:a="http://schemas.openxmlformats.org/drawingml/2006/main">
              <a:prstDash val="solid"/>
            </a:ln>
          </spPr>
          <cat>
            <numRef>
              <f>'Summary'!$A$16:$A$20</f>
            </numRef>
          </cat>
          <val>
            <numRef>
              <f>'Summary'!$B$16:$B$20</f>
            </numRef>
          </val>
        </ser>
        <ser>
          <idx val="1"/>
          <order val="1"/>
          <tx>
            <strRef>
              <f>'Summary'!C15</f>
            </strRef>
          </tx>
          <spPr>
            <a:ln xmlns:a="http://schemas.openxmlformats.org/drawingml/2006/main">
              <a:prstDash val="solid"/>
            </a:ln>
          </spPr>
          <cat>
            <numRef>
              <f>'Summary'!$A$16:$A$20</f>
            </numRef>
          </cat>
          <val>
            <numRef>
              <f>'Summary'!$C$16:$C$20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Age band (years)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Subjects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2</row>
      <rowOff>0</rowOff>
    </from>
    <ext cx="504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Selected10" displayName="Selected10" ref="A1:L11" headerRowCount="1">
  <autoFilter ref="A1:L11"/>
  <tableColumns count="12">
    <tableColumn id="1" name="Subject ID"/>
    <tableColumn id="2" name="Precise Age"/>
    <tableColumn id="3" name="Sex"/>
    <tableColumn id="4" name="Age Band"/>
    <tableColumn id="5" name="Band Lower"/>
    <tableColumn id="6" name="Band Upper"/>
    <tableColumn id="7" name="Band Center"/>
    <tableColumn id="8" name="Distance to Center"/>
    <tableColumn id="9" name="Workbook Age"/>
    <tableColumn id="10" name="Rank"/>
    <tableColumn id="11" name="Approved"/>
    <tableColumn id="12" name="Old 10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Eligible132" displayName="Eligible132" ref="A1:H133" headerRowCount="1">
  <autoFilter ref="A1:H133"/>
  <tableColumns count="8">
    <tableColumn id="1" name="Subject ID"/>
    <tableColumn id="2" name="CCID"/>
    <tableColumn id="3" name="Precise Age"/>
    <tableColumn id="4" name="Workbook Age"/>
    <tableColumn id="5" name="Sex"/>
    <tableColumn id="6" name="Age Band"/>
    <tableColumn id="7" name="Band Index"/>
    <tableColumn id="8" name="Selected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RankedCandidates" displayName="RankedCandidates" ref="A1:I31" headerRowCount="1">
  <autoFilter ref="A1:I31"/>
  <tableColumns count="9">
    <tableColumn id="1" name="Age Band"/>
    <tableColumn id="2" name="Band Index"/>
    <tableColumn id="3" name="Sex"/>
    <tableColumn id="4" name="Rank"/>
    <tableColumn id="5" name="Subject ID"/>
    <tableColumn id="6" name="Precise Age"/>
    <tableColumn id="7" name="Band Center"/>
    <tableColumn id="8" name="Distance"/>
    <tableColumn id="9" name="Selected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0"/>
  <sheetViews>
    <sheetView showGridLines="0" zoomScale="9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18" customWidth="1" min="2" max="2"/>
    <col width="14" customWidth="1" min="3" max="3"/>
    <col width="42" customWidth="1" min="4" max="4"/>
  </cols>
  <sheetData>
    <row r="1">
      <c r="A1" s="1" t="inlineStr">
        <is>
          <t>Final-132 Repeatability Cohort: Balanced 10</t>
        </is>
      </c>
    </row>
    <row r="3">
      <c r="A3" s="2" t="inlineStr">
        <is>
          <t>Metric</t>
        </is>
      </c>
      <c r="B3" s="2" t="inlineStr">
        <is>
          <t>Value</t>
        </is>
      </c>
      <c r="C3" s="2" t="inlineStr">
        <is>
          <t>Validation</t>
        </is>
      </c>
      <c r="D3" s="2" t="inlineStr">
        <is>
          <t>Notes</t>
        </is>
      </c>
    </row>
    <row r="4">
      <c r="A4" s="3" t="inlineStr">
        <is>
          <t>Approved pool size</t>
        </is>
      </c>
      <c r="B4" s="3" t="n">
        <v>132</v>
      </c>
      <c r="C4" s="4" t="inlineStr">
        <is>
          <t>PASS</t>
        </is>
      </c>
      <c r="D4" t="inlineStr">
        <is>
          <t>Authoritative final_132 list</t>
        </is>
      </c>
    </row>
    <row r="5">
      <c r="A5" s="3" t="inlineStr">
        <is>
          <t>Selected subjects</t>
        </is>
      </c>
      <c r="B5" s="5">
        <f>COUNTA('Selected 10'!A2:A11)</f>
        <v/>
      </c>
      <c r="C5" s="4" t="inlineStr">
        <is>
          <t>PASS</t>
        </is>
      </c>
      <c r="D5" t="inlineStr">
        <is>
          <t>Requested full cohort</t>
        </is>
      </c>
    </row>
    <row r="6">
      <c r="A6" s="3" t="inlineStr">
        <is>
          <t>Female subjects</t>
        </is>
      </c>
      <c r="B6" s="5">
        <f>COUNTIF('Selected 10'!C2:C11,"FEMALE")</f>
        <v/>
      </c>
      <c r="C6" s="4" t="inlineStr">
        <is>
          <t>PASS</t>
        </is>
      </c>
      <c r="D6" t="inlineStr">
        <is>
          <t>Target = 5</t>
        </is>
      </c>
    </row>
    <row r="7">
      <c r="A7" s="3" t="inlineStr">
        <is>
          <t>Male subjects</t>
        </is>
      </c>
      <c r="B7" s="5">
        <f>COUNTIF('Selected 10'!C2:C11,"MALE")</f>
        <v/>
      </c>
      <c r="C7" s="4" t="inlineStr">
        <is>
          <t>PASS</t>
        </is>
      </c>
      <c r="D7" t="inlineStr">
        <is>
          <t>Target = 5</t>
        </is>
      </c>
    </row>
    <row r="8">
      <c r="A8" s="3" t="inlineStr">
        <is>
          <t>Age bands represented</t>
        </is>
      </c>
      <c r="B8" s="5">
        <f>COUNTA(A16:A20)</f>
        <v/>
      </c>
      <c r="C8" s="4" t="inlineStr">
        <is>
          <t>PASS</t>
        </is>
      </c>
      <c r="D8" t="inlineStr">
        <is>
          <t>Target = 5</t>
        </is>
      </c>
    </row>
    <row r="9">
      <c r="A9" s="3" t="inlineStr">
        <is>
          <t>Selected mean age</t>
        </is>
      </c>
      <c r="B9" s="5">
        <f>AVERAGE('Selected 10'!B2:B11)</f>
        <v/>
      </c>
      <c r="C9" s="4" t="inlineStr">
        <is>
          <t>PASS</t>
        </is>
      </c>
      <c r="D9" t="inlineStr">
        <is>
          <t>Years</t>
        </is>
      </c>
    </row>
    <row r="10">
      <c r="A10" s="3" t="inlineStr">
        <is>
          <t>Selected median age</t>
        </is>
      </c>
      <c r="B10" s="5">
        <f>MEDIAN('Selected 10'!B2:B11)</f>
        <v/>
      </c>
      <c r="C10" s="4" t="inlineStr">
        <is>
          <t>PASS</t>
        </is>
      </c>
      <c r="D10" t="inlineStr">
        <is>
          <t>Years</t>
        </is>
      </c>
    </row>
    <row r="11">
      <c r="A11" s="3" t="inlineStr">
        <is>
          <t>Selected minimum age</t>
        </is>
      </c>
      <c r="B11" s="5">
        <f>MIN('Selected 10'!B2:B11)</f>
        <v/>
      </c>
      <c r="C11" s="4" t="inlineStr">
        <is>
          <t>PASS</t>
        </is>
      </c>
      <c r="D11" t="inlineStr">
        <is>
          <t>Years</t>
        </is>
      </c>
    </row>
    <row r="12">
      <c r="A12" s="3" t="inlineStr">
        <is>
          <t>Selected maximum age</t>
        </is>
      </c>
      <c r="B12" s="5">
        <f>MAX('Selected 10'!B2:B11)</f>
        <v/>
      </c>
      <c r="C12" s="4" t="inlineStr">
        <is>
          <t>PASS</t>
        </is>
      </c>
      <c r="D12" t="inlineStr">
        <is>
          <t>Years</t>
        </is>
      </c>
    </row>
    <row r="13">
      <c r="A13" s="3" t="inlineStr">
        <is>
          <t>Maximum source age delta</t>
        </is>
      </c>
      <c r="B13" s="3" t="n">
        <v>1</v>
      </c>
      <c r="C13" s="4" t="inlineStr">
        <is>
          <t>PASS</t>
        </is>
      </c>
      <c r="D13" t="inlineStr">
        <is>
          <t>Workbook is integer-age; CSV is precise</t>
        </is>
      </c>
    </row>
    <row r="14">
      <c r="A14" s="3" t="inlineStr">
        <is>
          <t>Old/new selected overlap</t>
        </is>
      </c>
      <c r="B14" s="3" t="n">
        <v>0</v>
      </c>
      <c r="C14" s="4" t="inlineStr">
        <is>
          <t>INFO</t>
        </is>
      </c>
      <c r="D14" t="inlineStr">
        <is>
          <t>No overlap was required</t>
        </is>
      </c>
    </row>
    <row r="15">
      <c r="A15" s="2" t="inlineStr">
        <is>
          <t>Age Band</t>
        </is>
      </c>
      <c r="B15" s="2" t="inlineStr">
        <is>
          <t>Female</t>
        </is>
      </c>
      <c r="C15" s="2" t="inlineStr">
        <is>
          <t>Male</t>
        </is>
      </c>
      <c r="D15" s="2" t="inlineStr">
        <is>
          <t>Total</t>
        </is>
      </c>
    </row>
    <row r="16">
      <c r="A16" t="inlineStr">
        <is>
          <t>19.00-32.23</t>
        </is>
      </c>
      <c r="B16">
        <f>COUNTIFS('Selected 10'!$D$2:$D$11,A16,'Selected 10'!$C$2:$C$11,"FEMALE")</f>
        <v/>
      </c>
      <c r="C16">
        <f>COUNTIFS('Selected 10'!$D$2:$D$11,A16,'Selected 10'!$C$2:$C$11,"MALE")</f>
        <v/>
      </c>
      <c r="D16">
        <f>SUM(B16:C16)</f>
        <v/>
      </c>
    </row>
    <row r="17">
      <c r="A17" t="inlineStr">
        <is>
          <t>32.23-45.47</t>
        </is>
      </c>
      <c r="B17">
        <f>COUNTIFS('Selected 10'!$D$2:$D$11,A17,'Selected 10'!$C$2:$C$11,"FEMALE")</f>
        <v/>
      </c>
      <c r="C17">
        <f>COUNTIFS('Selected 10'!$D$2:$D$11,A17,'Selected 10'!$C$2:$C$11,"MALE")</f>
        <v/>
      </c>
      <c r="D17">
        <f>SUM(B17:C17)</f>
        <v/>
      </c>
    </row>
    <row r="18">
      <c r="A18" t="inlineStr">
        <is>
          <t>45.47-58.70</t>
        </is>
      </c>
      <c r="B18">
        <f>COUNTIFS('Selected 10'!$D$2:$D$11,A18,'Selected 10'!$C$2:$C$11,"FEMALE")</f>
        <v/>
      </c>
      <c r="C18">
        <f>COUNTIFS('Selected 10'!$D$2:$D$11,A18,'Selected 10'!$C$2:$C$11,"MALE")</f>
        <v/>
      </c>
      <c r="D18">
        <f>SUM(B18:C18)</f>
        <v/>
      </c>
    </row>
    <row r="19">
      <c r="A19" t="inlineStr">
        <is>
          <t>58.70-71.94</t>
        </is>
      </c>
      <c r="B19">
        <f>COUNTIFS('Selected 10'!$D$2:$D$11,A19,'Selected 10'!$C$2:$C$11,"FEMALE")</f>
        <v/>
      </c>
      <c r="C19">
        <f>COUNTIFS('Selected 10'!$D$2:$D$11,A19,'Selected 10'!$C$2:$C$11,"MALE")</f>
        <v/>
      </c>
      <c r="D19">
        <f>SUM(B19:C19)</f>
        <v/>
      </c>
    </row>
    <row r="20">
      <c r="A20" t="inlineStr">
        <is>
          <t>71.94-85.17</t>
        </is>
      </c>
      <c r="B20">
        <f>COUNTIFS('Selected 10'!$D$2:$D$11,A20,'Selected 10'!$C$2:$C$11,"FEMALE")</f>
        <v/>
      </c>
      <c r="C20">
        <f>COUNTIFS('Selected 10'!$D$2:$D$11,A20,'Selected 10'!$C$2:$C$11,"MALE")</f>
        <v/>
      </c>
      <c r="D20">
        <f>SUM(B20:C20)</f>
        <v/>
      </c>
    </row>
  </sheetData>
  <mergeCells count="1">
    <mergeCell ref="A1:D1"/>
  </mergeCells>
  <pageMargins left="0.75" right="0.75" top="1" bottom="1" header="0.5" footer="0.5"/>
  <pageSetup orientation="portrait" paperSize="1" fitToHeight="0" fitToWidth="1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L11"/>
  <sheetViews>
    <sheetView showGridLines="0" zoomScale="9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3" customWidth="1" min="2" max="2"/>
    <col width="12" customWidth="1" min="3" max="3"/>
    <col width="17" customWidth="1" min="4" max="4"/>
    <col width="13" customWidth="1" min="5" max="5"/>
    <col width="13" customWidth="1" min="6" max="6"/>
    <col width="14" customWidth="1" min="7" max="7"/>
    <col width="19" customWidth="1" min="8" max="8"/>
    <col width="15" customWidth="1" min="9" max="9"/>
    <col width="9" customWidth="1" min="10" max="10"/>
    <col width="12" customWidth="1" min="11" max="11"/>
    <col width="10" customWidth="1" min="12" max="12"/>
  </cols>
  <sheetData>
    <row r="1">
      <c r="A1" s="2" t="inlineStr">
        <is>
          <t>Subject ID</t>
        </is>
      </c>
      <c r="B1" s="2" t="inlineStr">
        <is>
          <t>Precise Age</t>
        </is>
      </c>
      <c r="C1" s="2" t="inlineStr">
        <is>
          <t>Sex</t>
        </is>
      </c>
      <c r="D1" s="2" t="inlineStr">
        <is>
          <t>Age Band</t>
        </is>
      </c>
      <c r="E1" s="2" t="inlineStr">
        <is>
          <t>Band Lower</t>
        </is>
      </c>
      <c r="F1" s="2" t="inlineStr">
        <is>
          <t>Band Upper</t>
        </is>
      </c>
      <c r="G1" s="2" t="inlineStr">
        <is>
          <t>Band Center</t>
        </is>
      </c>
      <c r="H1" s="2" t="inlineStr">
        <is>
          <t>Distance to Center</t>
        </is>
      </c>
      <c r="I1" s="2" t="inlineStr">
        <is>
          <t>Workbook Age</t>
        </is>
      </c>
      <c r="J1" s="2" t="inlineStr">
        <is>
          <t>Rank</t>
        </is>
      </c>
      <c r="K1" s="2" t="inlineStr">
        <is>
          <t>Approved</t>
        </is>
      </c>
      <c r="L1" s="2" t="inlineStr">
        <is>
          <t>Old 10</t>
        </is>
      </c>
    </row>
    <row r="2">
      <c r="A2" s="6" t="inlineStr">
        <is>
          <t>sub-CC110174</t>
        </is>
      </c>
      <c r="B2" s="7" t="n">
        <v>26</v>
      </c>
      <c r="C2" s="8" t="inlineStr">
        <is>
          <t>FEMALE</t>
        </is>
      </c>
      <c r="D2" s="8" t="inlineStr">
        <is>
          <t>19.00-32.23</t>
        </is>
      </c>
      <c r="E2" s="7" t="n">
        <v>19</v>
      </c>
      <c r="F2" s="7" t="n">
        <v>32.234</v>
      </c>
      <c r="G2" s="9">
        <f>(E2+F2)/2</f>
        <v/>
      </c>
      <c r="H2" s="9">
        <f>ABS(B2-G2)</f>
        <v/>
      </c>
      <c r="I2" s="7" t="n">
        <v>25</v>
      </c>
      <c r="J2" s="8" t="n">
        <v>1</v>
      </c>
      <c r="K2" s="10">
        <f>IF(COUNTIF('Eligible 132'!$A$2:$A$133,A2)=1,"YES","ERROR")</f>
        <v/>
      </c>
      <c r="L2" s="8" t="inlineStr">
        <is>
          <t>NO</t>
        </is>
      </c>
    </row>
    <row r="3">
      <c r="A3" s="6" t="inlineStr">
        <is>
          <t>sub-CC121144</t>
        </is>
      </c>
      <c r="B3" s="7" t="n">
        <v>26</v>
      </c>
      <c r="C3" s="8" t="inlineStr">
        <is>
          <t>MALE</t>
        </is>
      </c>
      <c r="D3" s="8" t="inlineStr">
        <is>
          <t>19.00-32.23</t>
        </is>
      </c>
      <c r="E3" s="7" t="n">
        <v>19</v>
      </c>
      <c r="F3" s="7" t="n">
        <v>32.234</v>
      </c>
      <c r="G3" s="9">
        <f>(E3+F3)/2</f>
        <v/>
      </c>
      <c r="H3" s="9">
        <f>ABS(B3-G3)</f>
        <v/>
      </c>
      <c r="I3" s="7" t="n">
        <v>26</v>
      </c>
      <c r="J3" s="8" t="n">
        <v>1</v>
      </c>
      <c r="K3" s="10">
        <f>IF(COUNTIF('Eligible 132'!$A$2:$A$133,A3)=1,"YES","ERROR")</f>
        <v/>
      </c>
      <c r="L3" s="8" t="inlineStr">
        <is>
          <t>NO</t>
        </is>
      </c>
    </row>
    <row r="4">
      <c r="A4" s="6" t="inlineStr">
        <is>
          <t>sub-CC310407</t>
        </is>
      </c>
      <c r="B4" s="7" t="n">
        <v>39</v>
      </c>
      <c r="C4" s="8" t="inlineStr">
        <is>
          <t>FEMALE</t>
        </is>
      </c>
      <c r="D4" s="8" t="inlineStr">
        <is>
          <t>32.23-45.47</t>
        </is>
      </c>
      <c r="E4" s="7" t="n">
        <v>32.234</v>
      </c>
      <c r="F4" s="7" t="n">
        <v>45.468</v>
      </c>
      <c r="G4" s="9">
        <f>(E4+F4)/2</f>
        <v/>
      </c>
      <c r="H4" s="9">
        <f>ABS(B4-G4)</f>
        <v/>
      </c>
      <c r="I4" s="7" t="n">
        <v>39</v>
      </c>
      <c r="J4" s="8" t="n">
        <v>1</v>
      </c>
      <c r="K4" s="10">
        <f>IF(COUNTIF('Eligible 132'!$A$2:$A$133,A4)=1,"YES","ERROR")</f>
        <v/>
      </c>
      <c r="L4" s="8" t="inlineStr">
        <is>
          <t>NO</t>
        </is>
      </c>
    </row>
    <row r="5">
      <c r="A5" s="6" t="inlineStr">
        <is>
          <t>sub-CC320616</t>
        </is>
      </c>
      <c r="B5" s="7" t="n">
        <v>39.08</v>
      </c>
      <c r="C5" s="8" t="inlineStr">
        <is>
          <t>MALE</t>
        </is>
      </c>
      <c r="D5" s="8" t="inlineStr">
        <is>
          <t>32.23-45.47</t>
        </is>
      </c>
      <c r="E5" s="7" t="n">
        <v>32.234</v>
      </c>
      <c r="F5" s="7" t="n">
        <v>45.468</v>
      </c>
      <c r="G5" s="9">
        <f>(E5+F5)/2</f>
        <v/>
      </c>
      <c r="H5" s="9">
        <f>ABS(B5-G5)</f>
        <v/>
      </c>
      <c r="I5" s="7" t="n">
        <v>39</v>
      </c>
      <c r="J5" s="8" t="n">
        <v>1</v>
      </c>
      <c r="K5" s="10">
        <f>IF(COUNTIF('Eligible 132'!$A$2:$A$133,A5)=1,"YES","ERROR")</f>
        <v/>
      </c>
      <c r="L5" s="8" t="inlineStr">
        <is>
          <t>NO</t>
        </is>
      </c>
    </row>
    <row r="6">
      <c r="A6" s="6" t="inlineStr">
        <is>
          <t>sub-CC420071</t>
        </is>
      </c>
      <c r="B6" s="7" t="n">
        <v>52.58</v>
      </c>
      <c r="C6" s="8" t="inlineStr">
        <is>
          <t>FEMALE</t>
        </is>
      </c>
      <c r="D6" s="8" t="inlineStr">
        <is>
          <t>45.47-58.70</t>
        </is>
      </c>
      <c r="E6" s="7" t="n">
        <v>45.468</v>
      </c>
      <c r="F6" s="7" t="n">
        <v>58.702</v>
      </c>
      <c r="G6" s="9">
        <f>(E6+F6)/2</f>
        <v/>
      </c>
      <c r="H6" s="9">
        <f>ABS(B6-G6)</f>
        <v/>
      </c>
      <c r="I6" s="7" t="n">
        <v>52</v>
      </c>
      <c r="J6" s="8" t="n">
        <v>1</v>
      </c>
      <c r="K6" s="10">
        <f>IF(COUNTIF('Eligible 132'!$A$2:$A$133,A6)=1,"YES","ERROR")</f>
        <v/>
      </c>
      <c r="L6" s="8" t="inlineStr">
        <is>
          <t>NO</t>
        </is>
      </c>
    </row>
    <row r="7">
      <c r="A7" s="6" t="inlineStr">
        <is>
          <t>sub-CC410432</t>
        </is>
      </c>
      <c r="B7" s="7" t="n">
        <v>52.58</v>
      </c>
      <c r="C7" s="8" t="inlineStr">
        <is>
          <t>MALE</t>
        </is>
      </c>
      <c r="D7" s="8" t="inlineStr">
        <is>
          <t>45.47-58.70</t>
        </is>
      </c>
      <c r="E7" s="7" t="n">
        <v>45.468</v>
      </c>
      <c r="F7" s="7" t="n">
        <v>58.702</v>
      </c>
      <c r="G7" s="9">
        <f>(E7+F7)/2</f>
        <v/>
      </c>
      <c r="H7" s="9">
        <f>ABS(B7-G7)</f>
        <v/>
      </c>
      <c r="I7" s="7" t="n">
        <v>52</v>
      </c>
      <c r="J7" s="8" t="n">
        <v>1</v>
      </c>
      <c r="K7" s="10">
        <f>IF(COUNTIF('Eligible 132'!$A$2:$A$133,A7)=1,"YES","ERROR")</f>
        <v/>
      </c>
      <c r="L7" s="8" t="inlineStr">
        <is>
          <t>NO</t>
        </is>
      </c>
    </row>
    <row r="8">
      <c r="A8" s="6" t="inlineStr">
        <is>
          <t>sub-CC520083</t>
        </is>
      </c>
      <c r="B8" s="7" t="n">
        <v>65.08</v>
      </c>
      <c r="C8" s="8" t="inlineStr">
        <is>
          <t>FEMALE</t>
        </is>
      </c>
      <c r="D8" s="8" t="inlineStr">
        <is>
          <t>58.70-71.94</t>
        </is>
      </c>
      <c r="E8" s="7" t="n">
        <v>58.702</v>
      </c>
      <c r="F8" s="7" t="n">
        <v>71.93600000000001</v>
      </c>
      <c r="G8" s="9">
        <f>(E8+F8)/2</f>
        <v/>
      </c>
      <c r="H8" s="9">
        <f>ABS(B8-G8)</f>
        <v/>
      </c>
      <c r="I8" s="7" t="n">
        <v>65</v>
      </c>
      <c r="J8" s="8" t="n">
        <v>1</v>
      </c>
      <c r="K8" s="10">
        <f>IF(COUNTIF('Eligible 132'!$A$2:$A$133,A8)=1,"YES","ERROR")</f>
        <v/>
      </c>
      <c r="L8" s="8" t="inlineStr">
        <is>
          <t>NO</t>
        </is>
      </c>
    </row>
    <row r="9">
      <c r="A9" s="6" t="inlineStr">
        <is>
          <t>sub-CC520127</t>
        </is>
      </c>
      <c r="B9" s="7" t="n">
        <v>66</v>
      </c>
      <c r="C9" s="8" t="inlineStr">
        <is>
          <t>MALE</t>
        </is>
      </c>
      <c r="D9" s="8" t="inlineStr">
        <is>
          <t>58.70-71.94</t>
        </is>
      </c>
      <c r="E9" s="7" t="n">
        <v>58.702</v>
      </c>
      <c r="F9" s="7" t="n">
        <v>71.93600000000001</v>
      </c>
      <c r="G9" s="9">
        <f>(E9+F9)/2</f>
        <v/>
      </c>
      <c r="H9" s="9">
        <f>ABS(B9-G9)</f>
        <v/>
      </c>
      <c r="I9" s="7" t="n">
        <v>66</v>
      </c>
      <c r="J9" s="8" t="n">
        <v>1</v>
      </c>
      <c r="K9" s="10">
        <f>IF(COUNTIF('Eligible 132'!$A$2:$A$133,A9)=1,"YES","ERROR")</f>
        <v/>
      </c>
      <c r="L9" s="8" t="inlineStr">
        <is>
          <t>NO</t>
        </is>
      </c>
    </row>
    <row r="10">
      <c r="A10" s="6" t="inlineStr">
        <is>
          <t>sub-CC610631</t>
        </is>
      </c>
      <c r="B10" s="7" t="n">
        <v>77.58</v>
      </c>
      <c r="C10" s="8" t="inlineStr">
        <is>
          <t>FEMALE</t>
        </is>
      </c>
      <c r="D10" s="8" t="inlineStr">
        <is>
          <t>71.94-85.17</t>
        </is>
      </c>
      <c r="E10" s="7" t="n">
        <v>71.93600000000001</v>
      </c>
      <c r="F10" s="7" t="n">
        <v>85.17</v>
      </c>
      <c r="G10" s="9">
        <f>(E10+F10)/2</f>
        <v/>
      </c>
      <c r="H10" s="9">
        <f>ABS(B10-G10)</f>
        <v/>
      </c>
      <c r="I10" s="7" t="n">
        <v>77</v>
      </c>
      <c r="J10" s="8" t="n">
        <v>1</v>
      </c>
      <c r="K10" s="10">
        <f>IF(COUNTIF('Eligible 132'!$A$2:$A$133,A10)=1,"YES","ERROR")</f>
        <v/>
      </c>
      <c r="L10" s="8" t="inlineStr">
        <is>
          <t>NO</t>
        </is>
      </c>
    </row>
    <row r="11">
      <c r="A11" s="6" t="inlineStr">
        <is>
          <t>sub-CC720941</t>
        </is>
      </c>
      <c r="B11" s="7" t="n">
        <v>79.17</v>
      </c>
      <c r="C11" s="8" t="inlineStr">
        <is>
          <t>MALE</t>
        </is>
      </c>
      <c r="D11" s="8" t="inlineStr">
        <is>
          <t>71.94-85.17</t>
        </is>
      </c>
      <c r="E11" s="7" t="n">
        <v>71.93600000000001</v>
      </c>
      <c r="F11" s="7" t="n">
        <v>85.17</v>
      </c>
      <c r="G11" s="9">
        <f>(E11+F11)/2</f>
        <v/>
      </c>
      <c r="H11" s="9">
        <f>ABS(B11-G11)</f>
        <v/>
      </c>
      <c r="I11" s="7" t="n">
        <v>79</v>
      </c>
      <c r="J11" s="8" t="n">
        <v>1</v>
      </c>
      <c r="K11" s="10">
        <f>IF(COUNTIF('Eligible 132'!$A$2:$A$133,A11)=1,"YES","ERROR")</f>
        <v/>
      </c>
      <c r="L11" s="8" t="inlineStr">
        <is>
          <t>NO</t>
        </is>
      </c>
    </row>
  </sheetData>
  <autoFilter ref="A1:L11"/>
  <pageMargins left="0.75" right="0.75" top="1" bottom="1" header="0.5" footer="0.5"/>
  <pageSetup orientation="landscape" paperSize="1" fitToHeight="0" fitToWidth="1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H133"/>
  <sheetViews>
    <sheetView showGridLines="0" zoomScale="9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5" customWidth="1" min="2" max="2"/>
    <col width="13" customWidth="1" min="3" max="3"/>
    <col width="15" customWidth="1" min="4" max="4"/>
    <col width="12" customWidth="1" min="5" max="5"/>
    <col width="17" customWidth="1" min="6" max="6"/>
    <col width="12" customWidth="1" min="7" max="7"/>
    <col width="12" customWidth="1" min="8" max="8"/>
  </cols>
  <sheetData>
    <row r="1">
      <c r="A1" s="2" t="inlineStr">
        <is>
          <t>Subject ID</t>
        </is>
      </c>
      <c r="B1" s="2" t="inlineStr">
        <is>
          <t>CCID</t>
        </is>
      </c>
      <c r="C1" s="2" t="inlineStr">
        <is>
          <t>Precise Age</t>
        </is>
      </c>
      <c r="D1" s="2" t="inlineStr">
        <is>
          <t>Workbook Age</t>
        </is>
      </c>
      <c r="E1" s="2" t="inlineStr">
        <is>
          <t>Sex</t>
        </is>
      </c>
      <c r="F1" s="2" t="inlineStr">
        <is>
          <t>Age Band</t>
        </is>
      </c>
      <c r="G1" s="2" t="inlineStr">
        <is>
          <t>Band Index</t>
        </is>
      </c>
      <c r="H1" s="2" t="inlineStr">
        <is>
          <t>Selected</t>
        </is>
      </c>
    </row>
    <row r="2">
      <c r="A2" s="11" t="inlineStr">
        <is>
          <t>sub-CC110056</t>
        </is>
      </c>
      <c r="B2" s="12" t="inlineStr">
        <is>
          <t>CC110056</t>
        </is>
      </c>
      <c r="C2" s="13" t="n">
        <v>22.67</v>
      </c>
      <c r="D2" s="13" t="n">
        <v>22</v>
      </c>
      <c r="E2" s="12" t="inlineStr">
        <is>
          <t>FEMALE</t>
        </is>
      </c>
      <c r="F2" s="12" t="inlineStr">
        <is>
          <t>19.00-32.23</t>
        </is>
      </c>
      <c r="G2" s="12" t="n">
        <v>1</v>
      </c>
      <c r="H2" s="14">
        <f>IF(COUNTIF('Selected 10'!$A$2:$A$11,A2)&gt;0,"YES","")</f>
        <v/>
      </c>
    </row>
    <row r="3">
      <c r="A3" s="11" t="inlineStr">
        <is>
          <t>sub-CC110098</t>
        </is>
      </c>
      <c r="B3" s="12" t="inlineStr">
        <is>
          <t>CC110098</t>
        </is>
      </c>
      <c r="C3" s="13" t="n">
        <v>23</v>
      </c>
      <c r="D3" s="13" t="n">
        <v>23</v>
      </c>
      <c r="E3" s="12" t="inlineStr">
        <is>
          <t>MALE</t>
        </is>
      </c>
      <c r="F3" s="12" t="inlineStr">
        <is>
          <t>19.00-32.23</t>
        </is>
      </c>
      <c r="G3" s="12" t="n">
        <v>1</v>
      </c>
      <c r="H3" s="14">
        <f>IF(COUNTIF('Selected 10'!$A$2:$A$11,A3)&gt;0,"YES","")</f>
        <v/>
      </c>
    </row>
    <row r="4">
      <c r="A4" s="11" t="inlineStr">
        <is>
          <t>sub-CC110101</t>
        </is>
      </c>
      <c r="B4" s="12" t="inlineStr">
        <is>
          <t>CC110101</t>
        </is>
      </c>
      <c r="C4" s="13" t="n">
        <v>23.33</v>
      </c>
      <c r="D4" s="13" t="n">
        <v>23</v>
      </c>
      <c r="E4" s="12" t="inlineStr">
        <is>
          <t>MALE</t>
        </is>
      </c>
      <c r="F4" s="12" t="inlineStr">
        <is>
          <t>19.00-32.23</t>
        </is>
      </c>
      <c r="G4" s="12" t="n">
        <v>1</v>
      </c>
      <c r="H4" s="14">
        <f>IF(COUNTIF('Selected 10'!$A$2:$A$11,A4)&gt;0,"YES","")</f>
        <v/>
      </c>
    </row>
    <row r="5">
      <c r="A5" s="11" t="inlineStr">
        <is>
          <t>sub-CC110174</t>
        </is>
      </c>
      <c r="B5" s="12" t="inlineStr">
        <is>
          <t>CC110174</t>
        </is>
      </c>
      <c r="C5" s="13" t="n">
        <v>26</v>
      </c>
      <c r="D5" s="13" t="n">
        <v>25</v>
      </c>
      <c r="E5" s="12" t="inlineStr">
        <is>
          <t>FEMALE</t>
        </is>
      </c>
      <c r="F5" s="12" t="inlineStr">
        <is>
          <t>19.00-32.23</t>
        </is>
      </c>
      <c r="G5" s="12" t="n">
        <v>1</v>
      </c>
      <c r="H5" s="14">
        <f>IF(COUNTIF('Selected 10'!$A$2:$A$11,A5)&gt;0,"YES","")</f>
        <v/>
      </c>
    </row>
    <row r="6">
      <c r="A6" s="11" t="inlineStr">
        <is>
          <t>sub-CC110606</t>
        </is>
      </c>
      <c r="B6" s="12" t="inlineStr">
        <is>
          <t>CC110606</t>
        </is>
      </c>
      <c r="C6" s="13" t="n">
        <v>20.75</v>
      </c>
      <c r="D6" s="13" t="n">
        <v>20</v>
      </c>
      <c r="E6" s="12" t="inlineStr">
        <is>
          <t>MALE</t>
        </is>
      </c>
      <c r="F6" s="12" t="inlineStr">
        <is>
          <t>19.00-32.23</t>
        </is>
      </c>
      <c r="G6" s="12" t="n">
        <v>1</v>
      </c>
      <c r="H6" s="14">
        <f>IF(COUNTIF('Selected 10'!$A$2:$A$11,A6)&gt;0,"YES","")</f>
        <v/>
      </c>
    </row>
    <row r="7">
      <c r="A7" s="11" t="inlineStr">
        <is>
          <t>sub-CC112141</t>
        </is>
      </c>
      <c r="B7" s="12" t="inlineStr">
        <is>
          <t>CC112141</t>
        </is>
      </c>
      <c r="C7" s="13" t="n">
        <v>29.08</v>
      </c>
      <c r="D7" s="13" t="n">
        <v>29</v>
      </c>
      <c r="E7" s="12" t="inlineStr">
        <is>
          <t>MALE</t>
        </is>
      </c>
      <c r="F7" s="12" t="inlineStr">
        <is>
          <t>19.00-32.23</t>
        </is>
      </c>
      <c r="G7" s="12" t="n">
        <v>1</v>
      </c>
      <c r="H7" s="14">
        <f>IF(COUNTIF('Selected 10'!$A$2:$A$11,A7)&gt;0,"YES","")</f>
        <v/>
      </c>
    </row>
    <row r="8">
      <c r="A8" s="11" t="inlineStr">
        <is>
          <t>sub-CC120049</t>
        </is>
      </c>
      <c r="B8" s="12" t="inlineStr">
        <is>
          <t>CC120049</t>
        </is>
      </c>
      <c r="C8" s="13" t="n">
        <v>28.08</v>
      </c>
      <c r="D8" s="13" t="n">
        <v>28</v>
      </c>
      <c r="E8" s="12" t="inlineStr">
        <is>
          <t>MALE</t>
        </is>
      </c>
      <c r="F8" s="12" t="inlineStr">
        <is>
          <t>19.00-32.23</t>
        </is>
      </c>
      <c r="G8" s="12" t="n">
        <v>1</v>
      </c>
      <c r="H8" s="14">
        <f>IF(COUNTIF('Selected 10'!$A$2:$A$11,A8)&gt;0,"YES","")</f>
        <v/>
      </c>
    </row>
    <row r="9">
      <c r="A9" s="11" t="inlineStr">
        <is>
          <t>sub-CC120061</t>
        </is>
      </c>
      <c r="B9" s="12" t="inlineStr">
        <is>
          <t>CC120061</t>
        </is>
      </c>
      <c r="C9" s="13" t="n">
        <v>19.17</v>
      </c>
      <c r="D9" s="13" t="n">
        <v>19</v>
      </c>
      <c r="E9" s="12" t="inlineStr">
        <is>
          <t>MALE</t>
        </is>
      </c>
      <c r="F9" s="12" t="inlineStr">
        <is>
          <t>19.00-32.23</t>
        </is>
      </c>
      <c r="G9" s="12" t="n">
        <v>1</v>
      </c>
      <c r="H9" s="14">
        <f>IF(COUNTIF('Selected 10'!$A$2:$A$11,A9)&gt;0,"YES","")</f>
        <v/>
      </c>
    </row>
    <row r="10">
      <c r="A10" s="11" t="inlineStr">
        <is>
          <t>sub-CC120166</t>
        </is>
      </c>
      <c r="B10" s="12" t="inlineStr">
        <is>
          <t>CC120166</t>
        </is>
      </c>
      <c r="C10" s="13" t="n">
        <v>28.17</v>
      </c>
      <c r="D10" s="13" t="n">
        <v>28</v>
      </c>
      <c r="E10" s="12" t="inlineStr">
        <is>
          <t>MALE</t>
        </is>
      </c>
      <c r="F10" s="12" t="inlineStr">
        <is>
          <t>19.00-32.23</t>
        </is>
      </c>
      <c r="G10" s="12" t="n">
        <v>1</v>
      </c>
      <c r="H10" s="14">
        <f>IF(COUNTIF('Selected 10'!$A$2:$A$11,A10)&gt;0,"YES","")</f>
        <v/>
      </c>
    </row>
    <row r="11">
      <c r="A11" s="11" t="inlineStr">
        <is>
          <t>sub-CC120276</t>
        </is>
      </c>
      <c r="B11" s="12" t="inlineStr">
        <is>
          <t>CC120276</t>
        </is>
      </c>
      <c r="C11" s="13" t="n">
        <v>23.08</v>
      </c>
      <c r="D11" s="13" t="n">
        <v>23</v>
      </c>
      <c r="E11" s="12" t="inlineStr">
        <is>
          <t>FEMALE</t>
        </is>
      </c>
      <c r="F11" s="12" t="inlineStr">
        <is>
          <t>19.00-32.23</t>
        </is>
      </c>
      <c r="G11" s="12" t="n">
        <v>1</v>
      </c>
      <c r="H11" s="14">
        <f>IF(COUNTIF('Selected 10'!$A$2:$A$11,A11)&gt;0,"YES","")</f>
        <v/>
      </c>
    </row>
    <row r="12">
      <c r="A12" s="11" t="inlineStr">
        <is>
          <t>sub-CC120795</t>
        </is>
      </c>
      <c r="B12" s="12" t="inlineStr">
        <is>
          <t>CC120795</t>
        </is>
      </c>
      <c r="C12" s="13" t="n">
        <v>24</v>
      </c>
      <c r="D12" s="13" t="n">
        <v>24</v>
      </c>
      <c r="E12" s="12" t="inlineStr">
        <is>
          <t>MALE</t>
        </is>
      </c>
      <c r="F12" s="12" t="inlineStr">
        <is>
          <t>19.00-32.23</t>
        </is>
      </c>
      <c r="G12" s="12" t="n">
        <v>1</v>
      </c>
      <c r="H12" s="14">
        <f>IF(COUNTIF('Selected 10'!$A$2:$A$11,A12)&gt;0,"YES","")</f>
        <v/>
      </c>
    </row>
    <row r="13">
      <c r="A13" s="11" t="inlineStr">
        <is>
          <t>sub-CC121111</t>
        </is>
      </c>
      <c r="B13" s="12" t="inlineStr">
        <is>
          <t>CC121111</t>
        </is>
      </c>
      <c r="C13" s="13" t="n">
        <v>19</v>
      </c>
      <c r="D13" s="13" t="n">
        <v>18</v>
      </c>
      <c r="E13" s="12" t="inlineStr">
        <is>
          <t>MALE</t>
        </is>
      </c>
      <c r="F13" s="12" t="inlineStr">
        <is>
          <t>19.00-32.23</t>
        </is>
      </c>
      <c r="G13" s="12" t="n">
        <v>1</v>
      </c>
      <c r="H13" s="14">
        <f>IF(COUNTIF('Selected 10'!$A$2:$A$11,A13)&gt;0,"YES","")</f>
        <v/>
      </c>
    </row>
    <row r="14">
      <c r="A14" s="11" t="inlineStr">
        <is>
          <t>sub-CC121144</t>
        </is>
      </c>
      <c r="B14" s="12" t="inlineStr">
        <is>
          <t>CC121144</t>
        </is>
      </c>
      <c r="C14" s="13" t="n">
        <v>26</v>
      </c>
      <c r="D14" s="13" t="n">
        <v>26</v>
      </c>
      <c r="E14" s="12" t="inlineStr">
        <is>
          <t>MALE</t>
        </is>
      </c>
      <c r="F14" s="12" t="inlineStr">
        <is>
          <t>19.00-32.23</t>
        </is>
      </c>
      <c r="G14" s="12" t="n">
        <v>1</v>
      </c>
      <c r="H14" s="14">
        <f>IF(COUNTIF('Selected 10'!$A$2:$A$11,A14)&gt;0,"YES","")</f>
        <v/>
      </c>
    </row>
    <row r="15">
      <c r="A15" s="11" t="inlineStr">
        <is>
          <t>sub-CC121158</t>
        </is>
      </c>
      <c r="B15" s="12" t="inlineStr">
        <is>
          <t>CC121158</t>
        </is>
      </c>
      <c r="C15" s="13" t="n">
        <v>28.42</v>
      </c>
      <c r="D15" s="13" t="n">
        <v>28</v>
      </c>
      <c r="E15" s="12" t="inlineStr">
        <is>
          <t>FEMALE</t>
        </is>
      </c>
      <c r="F15" s="12" t="inlineStr">
        <is>
          <t>19.00-32.23</t>
        </is>
      </c>
      <c r="G15" s="12" t="n">
        <v>1</v>
      </c>
      <c r="H15" s="14">
        <f>IF(COUNTIF('Selected 10'!$A$2:$A$11,A15)&gt;0,"YES","")</f>
        <v/>
      </c>
    </row>
    <row r="16">
      <c r="A16" s="11" t="inlineStr">
        <is>
          <t>sub-CC122172</t>
        </is>
      </c>
      <c r="B16" s="12" t="inlineStr">
        <is>
          <t>CC122172</t>
        </is>
      </c>
      <c r="C16" s="13" t="n">
        <v>27</v>
      </c>
      <c r="D16" s="13" t="n">
        <v>27</v>
      </c>
      <c r="E16" s="12" t="inlineStr">
        <is>
          <t>MALE</t>
        </is>
      </c>
      <c r="F16" s="12" t="inlineStr">
        <is>
          <t>19.00-32.23</t>
        </is>
      </c>
      <c r="G16" s="12" t="n">
        <v>1</v>
      </c>
      <c r="H16" s="14">
        <f>IF(COUNTIF('Selected 10'!$A$2:$A$11,A16)&gt;0,"YES","")</f>
        <v/>
      </c>
    </row>
    <row r="17">
      <c r="A17" s="11" t="inlineStr">
        <is>
          <t>sub-CC122405</t>
        </is>
      </c>
      <c r="B17" s="12" t="inlineStr">
        <is>
          <t>CC122405</t>
        </is>
      </c>
      <c r="C17" s="13" t="n">
        <v>27.08</v>
      </c>
      <c r="D17" s="13" t="n">
        <v>27</v>
      </c>
      <c r="E17" s="12" t="inlineStr">
        <is>
          <t>MALE</t>
        </is>
      </c>
      <c r="F17" s="12" t="inlineStr">
        <is>
          <t>19.00-32.23</t>
        </is>
      </c>
      <c r="G17" s="12" t="n">
        <v>1</v>
      </c>
      <c r="H17" s="14">
        <f>IF(COUNTIF('Selected 10'!$A$2:$A$11,A17)&gt;0,"YES","")</f>
        <v/>
      </c>
    </row>
    <row r="18">
      <c r="A18" s="11" t="inlineStr">
        <is>
          <t>sub-CC210422</t>
        </is>
      </c>
      <c r="B18" s="12" t="inlineStr">
        <is>
          <t>CC210422</t>
        </is>
      </c>
      <c r="C18" s="13" t="n">
        <v>34.67</v>
      </c>
      <c r="D18" s="13" t="n">
        <v>34</v>
      </c>
      <c r="E18" s="12" t="inlineStr">
        <is>
          <t>MALE</t>
        </is>
      </c>
      <c r="F18" s="12" t="inlineStr">
        <is>
          <t>32.23-45.47</t>
        </is>
      </c>
      <c r="G18" s="12" t="n">
        <v>2</v>
      </c>
      <c r="H18" s="14">
        <f>IF(COUNTIF('Selected 10'!$A$2:$A$11,A18)&gt;0,"YES","")</f>
        <v/>
      </c>
    </row>
    <row r="19">
      <c r="A19" s="11" t="inlineStr">
        <is>
          <t>sub-CC210657</t>
        </is>
      </c>
      <c r="B19" s="12" t="inlineStr">
        <is>
          <t>CC210657</t>
        </is>
      </c>
      <c r="C19" s="13" t="n">
        <v>37.33</v>
      </c>
      <c r="D19" s="13" t="n">
        <v>37</v>
      </c>
      <c r="E19" s="12" t="inlineStr">
        <is>
          <t>MALE</t>
        </is>
      </c>
      <c r="F19" s="12" t="inlineStr">
        <is>
          <t>32.23-45.47</t>
        </is>
      </c>
      <c r="G19" s="12" t="n">
        <v>2</v>
      </c>
      <c r="H19" s="14">
        <f>IF(COUNTIF('Selected 10'!$A$2:$A$11,A19)&gt;0,"YES","")</f>
        <v/>
      </c>
    </row>
    <row r="20">
      <c r="A20" s="11" t="inlineStr">
        <is>
          <t>sub-CC220132</t>
        </is>
      </c>
      <c r="B20" s="12" t="inlineStr">
        <is>
          <t>CC220132</t>
        </is>
      </c>
      <c r="C20" s="13" t="n">
        <v>31.25</v>
      </c>
      <c r="D20" s="13" t="n">
        <v>31</v>
      </c>
      <c r="E20" s="12" t="inlineStr">
        <is>
          <t>MALE</t>
        </is>
      </c>
      <c r="F20" s="12" t="inlineStr">
        <is>
          <t>19.00-32.23</t>
        </is>
      </c>
      <c r="G20" s="12" t="n">
        <v>1</v>
      </c>
      <c r="H20" s="14">
        <f>IF(COUNTIF('Selected 10'!$A$2:$A$11,A20)&gt;0,"YES","")</f>
        <v/>
      </c>
    </row>
    <row r="21">
      <c r="A21" s="11" t="inlineStr">
        <is>
          <t>sub-CC220151</t>
        </is>
      </c>
      <c r="B21" s="12" t="inlineStr">
        <is>
          <t>CC220151</t>
        </is>
      </c>
      <c r="C21" s="13" t="n">
        <v>30.83</v>
      </c>
      <c r="D21" s="13" t="n">
        <v>30</v>
      </c>
      <c r="E21" s="12" t="inlineStr">
        <is>
          <t>MALE</t>
        </is>
      </c>
      <c r="F21" s="12" t="inlineStr">
        <is>
          <t>19.00-32.23</t>
        </is>
      </c>
      <c r="G21" s="12" t="n">
        <v>1</v>
      </c>
      <c r="H21" s="14">
        <f>IF(COUNTIF('Selected 10'!$A$2:$A$11,A21)&gt;0,"YES","")</f>
        <v/>
      </c>
    </row>
    <row r="22">
      <c r="A22" s="11" t="inlineStr">
        <is>
          <t>sub-CC220223</t>
        </is>
      </c>
      <c r="B22" s="12" t="inlineStr">
        <is>
          <t>CC220223</t>
        </is>
      </c>
      <c r="C22" s="13" t="n">
        <v>33.5</v>
      </c>
      <c r="D22" s="13" t="n">
        <v>33</v>
      </c>
      <c r="E22" s="12" t="inlineStr">
        <is>
          <t>MALE</t>
        </is>
      </c>
      <c r="F22" s="12" t="inlineStr">
        <is>
          <t>32.23-45.47</t>
        </is>
      </c>
      <c r="G22" s="12" t="n">
        <v>2</v>
      </c>
      <c r="H22" s="14">
        <f>IF(COUNTIF('Selected 10'!$A$2:$A$11,A22)&gt;0,"YES","")</f>
        <v/>
      </c>
    </row>
    <row r="23">
      <c r="A23" s="11" t="inlineStr">
        <is>
          <t>sub-CC220506</t>
        </is>
      </c>
      <c r="B23" s="12" t="inlineStr">
        <is>
          <t>CC220506</t>
        </is>
      </c>
      <c r="C23" s="13" t="n">
        <v>35.08</v>
      </c>
      <c r="D23" s="13" t="n">
        <v>35</v>
      </c>
      <c r="E23" s="12" t="inlineStr">
        <is>
          <t>FEMALE</t>
        </is>
      </c>
      <c r="F23" s="12" t="inlineStr">
        <is>
          <t>32.23-45.47</t>
        </is>
      </c>
      <c r="G23" s="12" t="n">
        <v>2</v>
      </c>
      <c r="H23" s="14">
        <f>IF(COUNTIF('Selected 10'!$A$2:$A$11,A23)&gt;0,"YES","")</f>
        <v/>
      </c>
    </row>
    <row r="24">
      <c r="A24" s="11" t="inlineStr">
        <is>
          <t>sub-CC220518</t>
        </is>
      </c>
      <c r="B24" s="12" t="inlineStr">
        <is>
          <t>CC220518</t>
        </is>
      </c>
      <c r="C24" s="13" t="n">
        <v>30.25</v>
      </c>
      <c r="D24" s="13" t="n">
        <v>30</v>
      </c>
      <c r="E24" s="12" t="inlineStr">
        <is>
          <t>MALE</t>
        </is>
      </c>
      <c r="F24" s="12" t="inlineStr">
        <is>
          <t>19.00-32.23</t>
        </is>
      </c>
      <c r="G24" s="12" t="n">
        <v>1</v>
      </c>
      <c r="H24" s="14">
        <f>IF(COUNTIF('Selected 10'!$A$2:$A$11,A24)&gt;0,"YES","")</f>
        <v/>
      </c>
    </row>
    <row r="25">
      <c r="A25" s="11" t="inlineStr">
        <is>
          <t>sub-CC220519</t>
        </is>
      </c>
      <c r="B25" s="12" t="inlineStr">
        <is>
          <t>CC220519</t>
        </is>
      </c>
      <c r="C25" s="13" t="n">
        <v>29.5</v>
      </c>
      <c r="D25" s="13" t="n">
        <v>29</v>
      </c>
      <c r="E25" s="12" t="inlineStr">
        <is>
          <t>FEMALE</t>
        </is>
      </c>
      <c r="F25" s="12" t="inlineStr">
        <is>
          <t>19.00-32.23</t>
        </is>
      </c>
      <c r="G25" s="12" t="n">
        <v>1</v>
      </c>
      <c r="H25" s="14">
        <f>IF(COUNTIF('Selected 10'!$A$2:$A$11,A25)&gt;0,"YES","")</f>
        <v/>
      </c>
    </row>
    <row r="26">
      <c r="A26" s="11" t="inlineStr">
        <is>
          <t>sub-CC220535</t>
        </is>
      </c>
      <c r="B26" s="12" t="inlineStr">
        <is>
          <t>CC220535</t>
        </is>
      </c>
      <c r="C26" s="13" t="n">
        <v>32.08</v>
      </c>
      <c r="D26" s="13" t="n">
        <v>32</v>
      </c>
      <c r="E26" s="12" t="inlineStr">
        <is>
          <t>MALE</t>
        </is>
      </c>
      <c r="F26" s="12" t="inlineStr">
        <is>
          <t>19.00-32.23</t>
        </is>
      </c>
      <c r="G26" s="12" t="n">
        <v>1</v>
      </c>
      <c r="H26" s="14">
        <f>IF(COUNTIF('Selected 10'!$A$2:$A$11,A26)&gt;0,"YES","")</f>
        <v/>
      </c>
    </row>
    <row r="27">
      <c r="A27" s="11" t="inlineStr">
        <is>
          <t>sub-CC220567</t>
        </is>
      </c>
      <c r="B27" s="12" t="inlineStr">
        <is>
          <t>CC220567</t>
        </is>
      </c>
      <c r="C27" s="13" t="n">
        <v>37.75</v>
      </c>
      <c r="D27" s="13" t="n">
        <v>37</v>
      </c>
      <c r="E27" s="12" t="inlineStr">
        <is>
          <t>MALE</t>
        </is>
      </c>
      <c r="F27" s="12" t="inlineStr">
        <is>
          <t>32.23-45.47</t>
        </is>
      </c>
      <c r="G27" s="12" t="n">
        <v>2</v>
      </c>
      <c r="H27" s="14">
        <f>IF(COUNTIF('Selected 10'!$A$2:$A$11,A27)&gt;0,"YES","")</f>
        <v/>
      </c>
    </row>
    <row r="28">
      <c r="A28" s="11" t="inlineStr">
        <is>
          <t>sub-CC220697</t>
        </is>
      </c>
      <c r="B28" s="12" t="inlineStr">
        <is>
          <t>CC220697</t>
        </is>
      </c>
      <c r="C28" s="13" t="n">
        <v>35.08</v>
      </c>
      <c r="D28" s="13" t="n">
        <v>35</v>
      </c>
      <c r="E28" s="12" t="inlineStr">
        <is>
          <t>MALE</t>
        </is>
      </c>
      <c r="F28" s="12" t="inlineStr">
        <is>
          <t>32.23-45.47</t>
        </is>
      </c>
      <c r="G28" s="12" t="n">
        <v>2</v>
      </c>
      <c r="H28" s="14">
        <f>IF(COUNTIF('Selected 10'!$A$2:$A$11,A28)&gt;0,"YES","")</f>
        <v/>
      </c>
    </row>
    <row r="29">
      <c r="A29" s="11" t="inlineStr">
        <is>
          <t>sub-CC220843</t>
        </is>
      </c>
      <c r="B29" s="12" t="inlineStr">
        <is>
          <t>CC220843</t>
        </is>
      </c>
      <c r="C29" s="13" t="n">
        <v>37.25</v>
      </c>
      <c r="D29" s="13" t="n">
        <v>37</v>
      </c>
      <c r="E29" s="12" t="inlineStr">
        <is>
          <t>MALE</t>
        </is>
      </c>
      <c r="F29" s="12" t="inlineStr">
        <is>
          <t>32.23-45.47</t>
        </is>
      </c>
      <c r="G29" s="12" t="n">
        <v>2</v>
      </c>
      <c r="H29" s="14">
        <f>IF(COUNTIF('Selected 10'!$A$2:$A$11,A29)&gt;0,"YES","")</f>
        <v/>
      </c>
    </row>
    <row r="30">
      <c r="A30" s="11" t="inlineStr">
        <is>
          <t>sub-CC220999</t>
        </is>
      </c>
      <c r="B30" s="12" t="inlineStr">
        <is>
          <t>CC220999</t>
        </is>
      </c>
      <c r="C30" s="13" t="n">
        <v>37</v>
      </c>
      <c r="D30" s="13" t="n">
        <v>37</v>
      </c>
      <c r="E30" s="12" t="inlineStr">
        <is>
          <t>MALE</t>
        </is>
      </c>
      <c r="F30" s="12" t="inlineStr">
        <is>
          <t>32.23-45.47</t>
        </is>
      </c>
      <c r="G30" s="12" t="n">
        <v>2</v>
      </c>
      <c r="H30" s="14">
        <f>IF(COUNTIF('Selected 10'!$A$2:$A$11,A30)&gt;0,"YES","")</f>
        <v/>
      </c>
    </row>
    <row r="31">
      <c r="A31" s="11" t="inlineStr">
        <is>
          <t>sub-CC221002</t>
        </is>
      </c>
      <c r="B31" s="12" t="inlineStr">
        <is>
          <t>CC221002</t>
        </is>
      </c>
      <c r="C31" s="13" t="n">
        <v>38</v>
      </c>
      <c r="D31" s="13" t="n">
        <v>37</v>
      </c>
      <c r="E31" s="12" t="inlineStr">
        <is>
          <t>FEMALE</t>
        </is>
      </c>
      <c r="F31" s="12" t="inlineStr">
        <is>
          <t>32.23-45.47</t>
        </is>
      </c>
      <c r="G31" s="12" t="n">
        <v>2</v>
      </c>
      <c r="H31" s="14">
        <f>IF(COUNTIF('Selected 10'!$A$2:$A$11,A31)&gt;0,"YES","")</f>
        <v/>
      </c>
    </row>
    <row r="32">
      <c r="A32" s="11" t="inlineStr">
        <is>
          <t>sub-CC221031</t>
        </is>
      </c>
      <c r="B32" s="12" t="inlineStr">
        <is>
          <t>CC221031</t>
        </is>
      </c>
      <c r="C32" s="13" t="n">
        <v>38.33</v>
      </c>
      <c r="D32" s="13" t="n">
        <v>38</v>
      </c>
      <c r="E32" s="12" t="inlineStr">
        <is>
          <t>MALE</t>
        </is>
      </c>
      <c r="F32" s="12" t="inlineStr">
        <is>
          <t>32.23-45.47</t>
        </is>
      </c>
      <c r="G32" s="12" t="n">
        <v>2</v>
      </c>
      <c r="H32" s="14">
        <f>IF(COUNTIF('Selected 10'!$A$2:$A$11,A32)&gt;0,"YES","")</f>
        <v/>
      </c>
    </row>
    <row r="33">
      <c r="A33" s="11" t="inlineStr">
        <is>
          <t>sub-CC221038</t>
        </is>
      </c>
      <c r="B33" s="12" t="inlineStr">
        <is>
          <t>CC221038</t>
        </is>
      </c>
      <c r="C33" s="13" t="n">
        <v>29.83</v>
      </c>
      <c r="D33" s="13" t="n">
        <v>29</v>
      </c>
      <c r="E33" s="12" t="inlineStr">
        <is>
          <t>MALE</t>
        </is>
      </c>
      <c r="F33" s="12" t="inlineStr">
        <is>
          <t>19.00-32.23</t>
        </is>
      </c>
      <c r="G33" s="12" t="n">
        <v>1</v>
      </c>
      <c r="H33" s="14">
        <f>IF(COUNTIF('Selected 10'!$A$2:$A$11,A33)&gt;0,"YES","")</f>
        <v/>
      </c>
    </row>
    <row r="34">
      <c r="A34" s="11" t="inlineStr">
        <is>
          <t>sub-CC221040</t>
        </is>
      </c>
      <c r="B34" s="12" t="inlineStr">
        <is>
          <t>CC221040</t>
        </is>
      </c>
      <c r="C34" s="13" t="n">
        <v>36.17</v>
      </c>
      <c r="D34" s="13" t="n">
        <v>36</v>
      </c>
      <c r="E34" s="12" t="inlineStr">
        <is>
          <t>MALE</t>
        </is>
      </c>
      <c r="F34" s="12" t="inlineStr">
        <is>
          <t>32.23-45.47</t>
        </is>
      </c>
      <c r="G34" s="12" t="n">
        <v>2</v>
      </c>
      <c r="H34" s="14">
        <f>IF(COUNTIF('Selected 10'!$A$2:$A$11,A34)&gt;0,"YES","")</f>
        <v/>
      </c>
    </row>
    <row r="35">
      <c r="A35" s="11" t="inlineStr">
        <is>
          <t>sub-CC221054</t>
        </is>
      </c>
      <c r="B35" s="12" t="inlineStr">
        <is>
          <t>CC221054</t>
        </is>
      </c>
      <c r="C35" s="13" t="n">
        <v>31.75</v>
      </c>
      <c r="D35" s="13" t="n">
        <v>31</v>
      </c>
      <c r="E35" s="12" t="inlineStr">
        <is>
          <t>MALE</t>
        </is>
      </c>
      <c r="F35" s="12" t="inlineStr">
        <is>
          <t>19.00-32.23</t>
        </is>
      </c>
      <c r="G35" s="12" t="n">
        <v>1</v>
      </c>
      <c r="H35" s="14">
        <f>IF(COUNTIF('Selected 10'!$A$2:$A$11,A35)&gt;0,"YES","")</f>
        <v/>
      </c>
    </row>
    <row r="36">
      <c r="A36" s="11" t="inlineStr">
        <is>
          <t>sub-CC221220</t>
        </is>
      </c>
      <c r="B36" s="12" t="inlineStr">
        <is>
          <t>CC221220</t>
        </is>
      </c>
      <c r="C36" s="13" t="n">
        <v>37.67</v>
      </c>
      <c r="D36" s="13" t="n">
        <v>37</v>
      </c>
      <c r="E36" s="12" t="inlineStr">
        <is>
          <t>FEMALE</t>
        </is>
      </c>
      <c r="F36" s="12" t="inlineStr">
        <is>
          <t>32.23-45.47</t>
        </is>
      </c>
      <c r="G36" s="12" t="n">
        <v>2</v>
      </c>
      <c r="H36" s="14">
        <f>IF(COUNTIF('Selected 10'!$A$2:$A$11,A36)&gt;0,"YES","")</f>
        <v/>
      </c>
    </row>
    <row r="37">
      <c r="A37" s="11" t="inlineStr">
        <is>
          <t>sub-CC221336</t>
        </is>
      </c>
      <c r="B37" s="12" t="inlineStr">
        <is>
          <t>CC221336</t>
        </is>
      </c>
      <c r="C37" s="13" t="n">
        <v>34.67</v>
      </c>
      <c r="D37" s="13" t="n">
        <v>34</v>
      </c>
      <c r="E37" s="12" t="inlineStr">
        <is>
          <t>MALE</t>
        </is>
      </c>
      <c r="F37" s="12" t="inlineStr">
        <is>
          <t>32.23-45.47</t>
        </is>
      </c>
      <c r="G37" s="12" t="n">
        <v>2</v>
      </c>
      <c r="H37" s="14">
        <f>IF(COUNTIF('Selected 10'!$A$2:$A$11,A37)&gt;0,"YES","")</f>
        <v/>
      </c>
    </row>
    <row r="38">
      <c r="A38" s="11" t="inlineStr">
        <is>
          <t>sub-CC221595</t>
        </is>
      </c>
      <c r="B38" s="12" t="inlineStr">
        <is>
          <t>CC221595</t>
        </is>
      </c>
      <c r="C38" s="13" t="n">
        <v>33.25</v>
      </c>
      <c r="D38" s="13" t="n">
        <v>33</v>
      </c>
      <c r="E38" s="12" t="inlineStr">
        <is>
          <t>MALE</t>
        </is>
      </c>
      <c r="F38" s="12" t="inlineStr">
        <is>
          <t>32.23-45.47</t>
        </is>
      </c>
      <c r="G38" s="12" t="n">
        <v>2</v>
      </c>
      <c r="H38" s="14">
        <f>IF(COUNTIF('Selected 10'!$A$2:$A$11,A38)&gt;0,"YES","")</f>
        <v/>
      </c>
    </row>
    <row r="39">
      <c r="A39" s="11" t="inlineStr">
        <is>
          <t>sub-CC221775</t>
        </is>
      </c>
      <c r="B39" s="12" t="inlineStr">
        <is>
          <t>CC221775</t>
        </is>
      </c>
      <c r="C39" s="13" t="n">
        <v>32.25</v>
      </c>
      <c r="D39" s="13" t="n">
        <v>32</v>
      </c>
      <c r="E39" s="12" t="inlineStr">
        <is>
          <t>FEMALE</t>
        </is>
      </c>
      <c r="F39" s="12" t="inlineStr">
        <is>
          <t>32.23-45.47</t>
        </is>
      </c>
      <c r="G39" s="12" t="n">
        <v>2</v>
      </c>
      <c r="H39" s="14">
        <f>IF(COUNTIF('Selected 10'!$A$2:$A$11,A39)&gt;0,"YES","")</f>
        <v/>
      </c>
    </row>
    <row r="40">
      <c r="A40" s="11" t="inlineStr">
        <is>
          <t>sub-CC221935</t>
        </is>
      </c>
      <c r="B40" s="12" t="inlineStr">
        <is>
          <t>CC221935</t>
        </is>
      </c>
      <c r="C40" s="13" t="n">
        <v>37.25</v>
      </c>
      <c r="D40" s="13" t="n">
        <v>37</v>
      </c>
      <c r="E40" s="12" t="inlineStr">
        <is>
          <t>MALE</t>
        </is>
      </c>
      <c r="F40" s="12" t="inlineStr">
        <is>
          <t>32.23-45.47</t>
        </is>
      </c>
      <c r="G40" s="12" t="n">
        <v>2</v>
      </c>
      <c r="H40" s="14">
        <f>IF(COUNTIF('Selected 10'!$A$2:$A$11,A40)&gt;0,"YES","")</f>
        <v/>
      </c>
    </row>
    <row r="41">
      <c r="A41" s="11" t="inlineStr">
        <is>
          <t>sub-CC221977</t>
        </is>
      </c>
      <c r="B41" s="12" t="inlineStr">
        <is>
          <t>CC221977</t>
        </is>
      </c>
      <c r="C41" s="13" t="n">
        <v>37.42</v>
      </c>
      <c r="D41" s="13" t="n">
        <v>37</v>
      </c>
      <c r="E41" s="12" t="inlineStr">
        <is>
          <t>MALE</t>
        </is>
      </c>
      <c r="F41" s="12" t="inlineStr">
        <is>
          <t>32.23-45.47</t>
        </is>
      </c>
      <c r="G41" s="12" t="n">
        <v>2</v>
      </c>
      <c r="H41" s="14">
        <f>IF(COUNTIF('Selected 10'!$A$2:$A$11,A41)&gt;0,"YES","")</f>
        <v/>
      </c>
    </row>
    <row r="42">
      <c r="A42" s="11" t="inlineStr">
        <is>
          <t>sub-CC222367</t>
        </is>
      </c>
      <c r="B42" s="12" t="inlineStr">
        <is>
          <t>CC222367</t>
        </is>
      </c>
      <c r="C42" s="13" t="n">
        <v>37.08</v>
      </c>
      <c r="D42" s="13" t="n">
        <v>37</v>
      </c>
      <c r="E42" s="12" t="inlineStr">
        <is>
          <t>MALE</t>
        </is>
      </c>
      <c r="F42" s="12" t="inlineStr">
        <is>
          <t>32.23-45.47</t>
        </is>
      </c>
      <c r="G42" s="12" t="n">
        <v>2</v>
      </c>
      <c r="H42" s="14">
        <f>IF(COUNTIF('Selected 10'!$A$2:$A$11,A42)&gt;0,"YES","")</f>
        <v/>
      </c>
    </row>
    <row r="43">
      <c r="A43" s="11" t="inlineStr">
        <is>
          <t>sub-CC222496</t>
        </is>
      </c>
      <c r="B43" s="12" t="inlineStr">
        <is>
          <t>CC222496</t>
        </is>
      </c>
      <c r="C43" s="13" t="n">
        <v>38</v>
      </c>
      <c r="D43" s="13" t="n">
        <v>38</v>
      </c>
      <c r="E43" s="12" t="inlineStr">
        <is>
          <t>MALE</t>
        </is>
      </c>
      <c r="F43" s="12" t="inlineStr">
        <is>
          <t>32.23-45.47</t>
        </is>
      </c>
      <c r="G43" s="12" t="n">
        <v>2</v>
      </c>
      <c r="H43" s="14">
        <f>IF(COUNTIF('Selected 10'!$A$2:$A$11,A43)&gt;0,"YES","")</f>
        <v/>
      </c>
    </row>
    <row r="44">
      <c r="A44" s="11" t="inlineStr">
        <is>
          <t>sub-CC222555</t>
        </is>
      </c>
      <c r="B44" s="12" t="inlineStr">
        <is>
          <t>CC222555</t>
        </is>
      </c>
      <c r="C44" s="13" t="n">
        <v>29.5</v>
      </c>
      <c r="D44" s="13" t="n">
        <v>29</v>
      </c>
      <c r="E44" s="12" t="inlineStr">
        <is>
          <t>MALE</t>
        </is>
      </c>
      <c r="F44" s="12" t="inlineStr">
        <is>
          <t>19.00-32.23</t>
        </is>
      </c>
      <c r="G44" s="12" t="n">
        <v>1</v>
      </c>
      <c r="H44" s="14">
        <f>IF(COUNTIF('Selected 10'!$A$2:$A$11,A44)&gt;0,"YES","")</f>
        <v/>
      </c>
    </row>
    <row r="45">
      <c r="A45" s="11" t="inlineStr">
        <is>
          <t>sub-CC222652</t>
        </is>
      </c>
      <c r="B45" s="12" t="inlineStr">
        <is>
          <t>CC222652</t>
        </is>
      </c>
      <c r="C45" s="13" t="n">
        <v>30.08</v>
      </c>
      <c r="D45" s="13" t="n">
        <v>30</v>
      </c>
      <c r="E45" s="12" t="inlineStr">
        <is>
          <t>MALE</t>
        </is>
      </c>
      <c r="F45" s="12" t="inlineStr">
        <is>
          <t>19.00-32.23</t>
        </is>
      </c>
      <c r="G45" s="12" t="n">
        <v>1</v>
      </c>
      <c r="H45" s="14">
        <f>IF(COUNTIF('Selected 10'!$A$2:$A$11,A45)&gt;0,"YES","")</f>
        <v/>
      </c>
    </row>
    <row r="46">
      <c r="A46" s="11" t="inlineStr">
        <is>
          <t>sub-CC310051</t>
        </is>
      </c>
      <c r="B46" s="12" t="inlineStr">
        <is>
          <t>CC310051</t>
        </is>
      </c>
      <c r="C46" s="13" t="n">
        <v>42.42</v>
      </c>
      <c r="D46" s="13" t="n">
        <v>42</v>
      </c>
      <c r="E46" s="12" t="inlineStr">
        <is>
          <t>FEMALE</t>
        </is>
      </c>
      <c r="F46" s="12" t="inlineStr">
        <is>
          <t>32.23-45.47</t>
        </is>
      </c>
      <c r="G46" s="12" t="n">
        <v>2</v>
      </c>
      <c r="H46" s="14">
        <f>IF(COUNTIF('Selected 10'!$A$2:$A$11,A46)&gt;0,"YES","")</f>
        <v/>
      </c>
    </row>
    <row r="47">
      <c r="A47" s="11" t="inlineStr">
        <is>
          <t>sub-CC310086</t>
        </is>
      </c>
      <c r="B47" s="12" t="inlineStr">
        <is>
          <t>CC310086</t>
        </is>
      </c>
      <c r="C47" s="13" t="n">
        <v>48</v>
      </c>
      <c r="D47" s="13" t="n">
        <v>47</v>
      </c>
      <c r="E47" s="12" t="inlineStr">
        <is>
          <t>FEMALE</t>
        </is>
      </c>
      <c r="F47" s="12" t="inlineStr">
        <is>
          <t>45.47-58.70</t>
        </is>
      </c>
      <c r="G47" s="12" t="n">
        <v>3</v>
      </c>
      <c r="H47" s="14">
        <f>IF(COUNTIF('Selected 10'!$A$2:$A$11,A47)&gt;0,"YES","")</f>
        <v/>
      </c>
    </row>
    <row r="48">
      <c r="A48" s="11" t="inlineStr">
        <is>
          <t>sub-CC310160</t>
        </is>
      </c>
      <c r="B48" s="12" t="inlineStr">
        <is>
          <t>CC310160</t>
        </is>
      </c>
      <c r="C48" s="13" t="n">
        <v>41.92</v>
      </c>
      <c r="D48" s="13" t="n">
        <v>41</v>
      </c>
      <c r="E48" s="12" t="inlineStr">
        <is>
          <t>MALE</t>
        </is>
      </c>
      <c r="F48" s="12" t="inlineStr">
        <is>
          <t>32.23-45.47</t>
        </is>
      </c>
      <c r="G48" s="12" t="n">
        <v>2</v>
      </c>
      <c r="H48" s="14">
        <f>IF(COUNTIF('Selected 10'!$A$2:$A$11,A48)&gt;0,"YES","")</f>
        <v/>
      </c>
    </row>
    <row r="49">
      <c r="A49" s="11" t="inlineStr">
        <is>
          <t>sub-CC310252</t>
        </is>
      </c>
      <c r="B49" s="12" t="inlineStr">
        <is>
          <t>CC310252</t>
        </is>
      </c>
      <c r="C49" s="13" t="n">
        <v>47.83</v>
      </c>
      <c r="D49" s="13" t="n">
        <v>47</v>
      </c>
      <c r="E49" s="12" t="inlineStr">
        <is>
          <t>MALE</t>
        </is>
      </c>
      <c r="F49" s="12" t="inlineStr">
        <is>
          <t>45.47-58.70</t>
        </is>
      </c>
      <c r="G49" s="12" t="n">
        <v>3</v>
      </c>
      <c r="H49" s="14">
        <f>IF(COUNTIF('Selected 10'!$A$2:$A$11,A49)&gt;0,"YES","")</f>
        <v/>
      </c>
    </row>
    <row r="50">
      <c r="A50" s="11" t="inlineStr">
        <is>
          <t>sub-CC310385</t>
        </is>
      </c>
      <c r="B50" s="12" t="inlineStr">
        <is>
          <t>CC310385</t>
        </is>
      </c>
      <c r="C50" s="13" t="n">
        <v>48.75</v>
      </c>
      <c r="D50" s="13" t="n">
        <v>48</v>
      </c>
      <c r="E50" s="12" t="inlineStr">
        <is>
          <t>MALE</t>
        </is>
      </c>
      <c r="F50" s="12" t="inlineStr">
        <is>
          <t>45.47-58.70</t>
        </is>
      </c>
      <c r="G50" s="12" t="n">
        <v>3</v>
      </c>
      <c r="H50" s="14">
        <f>IF(COUNTIF('Selected 10'!$A$2:$A$11,A50)&gt;0,"YES","")</f>
        <v/>
      </c>
    </row>
    <row r="51">
      <c r="A51" s="11" t="inlineStr">
        <is>
          <t>sub-CC310397</t>
        </is>
      </c>
      <c r="B51" s="12" t="inlineStr">
        <is>
          <t>CC310397</t>
        </is>
      </c>
      <c r="C51" s="13" t="n">
        <v>41.5</v>
      </c>
      <c r="D51" s="13" t="n">
        <v>41</v>
      </c>
      <c r="E51" s="12" t="inlineStr">
        <is>
          <t>FEMALE</t>
        </is>
      </c>
      <c r="F51" s="12" t="inlineStr">
        <is>
          <t>32.23-45.47</t>
        </is>
      </c>
      <c r="G51" s="12" t="n">
        <v>2</v>
      </c>
      <c r="H51" s="14">
        <f>IF(COUNTIF('Selected 10'!$A$2:$A$11,A51)&gt;0,"YES","")</f>
        <v/>
      </c>
    </row>
    <row r="52">
      <c r="A52" s="11" t="inlineStr">
        <is>
          <t>sub-CC310400</t>
        </is>
      </c>
      <c r="B52" s="12" t="inlineStr">
        <is>
          <t>CC310400</t>
        </is>
      </c>
      <c r="C52" s="13" t="n">
        <v>43.67</v>
      </c>
      <c r="D52" s="13" t="n">
        <v>43</v>
      </c>
      <c r="E52" s="12" t="inlineStr">
        <is>
          <t>MALE</t>
        </is>
      </c>
      <c r="F52" s="12" t="inlineStr">
        <is>
          <t>32.23-45.47</t>
        </is>
      </c>
      <c r="G52" s="12" t="n">
        <v>2</v>
      </c>
      <c r="H52" s="14">
        <f>IF(COUNTIF('Selected 10'!$A$2:$A$11,A52)&gt;0,"YES","")</f>
        <v/>
      </c>
    </row>
    <row r="53">
      <c r="A53" s="11" t="inlineStr">
        <is>
          <t>sub-CC310407</t>
        </is>
      </c>
      <c r="B53" s="12" t="inlineStr">
        <is>
          <t>CC310407</t>
        </is>
      </c>
      <c r="C53" s="13" t="n">
        <v>39</v>
      </c>
      <c r="D53" s="13" t="n">
        <v>39</v>
      </c>
      <c r="E53" s="12" t="inlineStr">
        <is>
          <t>FEMALE</t>
        </is>
      </c>
      <c r="F53" s="12" t="inlineStr">
        <is>
          <t>32.23-45.47</t>
        </is>
      </c>
      <c r="G53" s="12" t="n">
        <v>2</v>
      </c>
      <c r="H53" s="14">
        <f>IF(COUNTIF('Selected 10'!$A$2:$A$11,A53)&gt;0,"YES","")</f>
        <v/>
      </c>
    </row>
    <row r="54">
      <c r="A54" s="11" t="inlineStr">
        <is>
          <t>sub-CC310450</t>
        </is>
      </c>
      <c r="B54" s="12" t="inlineStr">
        <is>
          <t>CC310450</t>
        </is>
      </c>
      <c r="C54" s="13" t="n">
        <v>46.42</v>
      </c>
      <c r="D54" s="13" t="n">
        <v>46</v>
      </c>
      <c r="E54" s="12" t="inlineStr">
        <is>
          <t>FEMALE</t>
        </is>
      </c>
      <c r="F54" s="12" t="inlineStr">
        <is>
          <t>45.47-58.70</t>
        </is>
      </c>
      <c r="G54" s="12" t="n">
        <v>3</v>
      </c>
      <c r="H54" s="14">
        <f>IF(COUNTIF('Selected 10'!$A$2:$A$11,A54)&gt;0,"YES","")</f>
        <v/>
      </c>
    </row>
    <row r="55">
      <c r="A55" s="11" t="inlineStr">
        <is>
          <t>sub-CC312222</t>
        </is>
      </c>
      <c r="B55" s="12" t="inlineStr">
        <is>
          <t>CC312222</t>
        </is>
      </c>
      <c r="C55" s="13" t="n">
        <v>48.08</v>
      </c>
      <c r="D55" s="13" t="n">
        <v>48</v>
      </c>
      <c r="E55" s="12" t="inlineStr">
        <is>
          <t>FEMALE</t>
        </is>
      </c>
      <c r="F55" s="12" t="inlineStr">
        <is>
          <t>45.47-58.70</t>
        </is>
      </c>
      <c r="G55" s="12" t="n">
        <v>3</v>
      </c>
      <c r="H55" s="14">
        <f>IF(COUNTIF('Selected 10'!$A$2:$A$11,A55)&gt;0,"YES","")</f>
        <v/>
      </c>
    </row>
    <row r="56">
      <c r="A56" s="11" t="inlineStr">
        <is>
          <t>sub-CC320107</t>
        </is>
      </c>
      <c r="B56" s="12" t="inlineStr">
        <is>
          <t>CC320107</t>
        </is>
      </c>
      <c r="C56" s="13" t="n">
        <v>47.83</v>
      </c>
      <c r="D56" s="13" t="n">
        <v>47</v>
      </c>
      <c r="E56" s="12" t="inlineStr">
        <is>
          <t>MALE</t>
        </is>
      </c>
      <c r="F56" s="12" t="inlineStr">
        <is>
          <t>45.47-58.70</t>
        </is>
      </c>
      <c r="G56" s="12" t="n">
        <v>3</v>
      </c>
      <c r="H56" s="14">
        <f>IF(COUNTIF('Selected 10'!$A$2:$A$11,A56)&gt;0,"YES","")</f>
        <v/>
      </c>
    </row>
    <row r="57">
      <c r="A57" s="11" t="inlineStr">
        <is>
          <t>sub-CC320206</t>
        </is>
      </c>
      <c r="B57" s="12" t="inlineStr">
        <is>
          <t>CC320206</t>
        </is>
      </c>
      <c r="C57" s="13" t="n">
        <v>47.5</v>
      </c>
      <c r="D57" s="13" t="n">
        <v>47</v>
      </c>
      <c r="E57" s="12" t="inlineStr">
        <is>
          <t>MALE</t>
        </is>
      </c>
      <c r="F57" s="12" t="inlineStr">
        <is>
          <t>45.47-58.70</t>
        </is>
      </c>
      <c r="G57" s="12" t="n">
        <v>3</v>
      </c>
      <c r="H57" s="14">
        <f>IF(COUNTIF('Selected 10'!$A$2:$A$11,A57)&gt;0,"YES","")</f>
        <v/>
      </c>
    </row>
    <row r="58">
      <c r="A58" s="11" t="inlineStr">
        <is>
          <t>sub-CC320325</t>
        </is>
      </c>
      <c r="B58" s="12" t="inlineStr">
        <is>
          <t>CC320325</t>
        </is>
      </c>
      <c r="C58" s="13" t="n">
        <v>44.42</v>
      </c>
      <c r="D58" s="13" t="n">
        <v>44</v>
      </c>
      <c r="E58" s="12" t="inlineStr">
        <is>
          <t>FEMALE</t>
        </is>
      </c>
      <c r="F58" s="12" t="inlineStr">
        <is>
          <t>32.23-45.47</t>
        </is>
      </c>
      <c r="G58" s="12" t="n">
        <v>2</v>
      </c>
      <c r="H58" s="14">
        <f>IF(COUNTIF('Selected 10'!$A$2:$A$11,A58)&gt;0,"YES","")</f>
        <v/>
      </c>
    </row>
    <row r="59">
      <c r="A59" s="11" t="inlineStr">
        <is>
          <t>sub-CC320448</t>
        </is>
      </c>
      <c r="B59" s="12" t="inlineStr">
        <is>
          <t>CC320448</t>
        </is>
      </c>
      <c r="C59" s="13" t="n">
        <v>42.92</v>
      </c>
      <c r="D59" s="13" t="n">
        <v>42</v>
      </c>
      <c r="E59" s="12" t="inlineStr">
        <is>
          <t>MALE</t>
        </is>
      </c>
      <c r="F59" s="12" t="inlineStr">
        <is>
          <t>32.23-45.47</t>
        </is>
      </c>
      <c r="G59" s="12" t="n">
        <v>2</v>
      </c>
      <c r="H59" s="14">
        <f>IF(COUNTIF('Selected 10'!$A$2:$A$11,A59)&gt;0,"YES","")</f>
        <v/>
      </c>
    </row>
    <row r="60">
      <c r="A60" s="11" t="inlineStr">
        <is>
          <t>sub-CC320478</t>
        </is>
      </c>
      <c r="B60" s="12" t="inlineStr">
        <is>
          <t>CC320478</t>
        </is>
      </c>
      <c r="C60" s="13" t="n">
        <v>40.17</v>
      </c>
      <c r="D60" s="13" t="n">
        <v>40</v>
      </c>
      <c r="E60" s="12" t="inlineStr">
        <is>
          <t>MALE</t>
        </is>
      </c>
      <c r="F60" s="12" t="inlineStr">
        <is>
          <t>32.23-45.47</t>
        </is>
      </c>
      <c r="G60" s="12" t="n">
        <v>2</v>
      </c>
      <c r="H60" s="14">
        <f>IF(COUNTIF('Selected 10'!$A$2:$A$11,A60)&gt;0,"YES","")</f>
        <v/>
      </c>
    </row>
    <row r="61">
      <c r="A61" s="11" t="inlineStr">
        <is>
          <t>sub-CC320574</t>
        </is>
      </c>
      <c r="B61" s="12" t="inlineStr">
        <is>
          <t>CC320574</t>
        </is>
      </c>
      <c r="C61" s="13" t="n">
        <v>40.33</v>
      </c>
      <c r="D61" s="13" t="n">
        <v>40</v>
      </c>
      <c r="E61" s="12" t="inlineStr">
        <is>
          <t>MALE</t>
        </is>
      </c>
      <c r="F61" s="12" t="inlineStr">
        <is>
          <t>32.23-45.47</t>
        </is>
      </c>
      <c r="G61" s="12" t="n">
        <v>2</v>
      </c>
      <c r="H61" s="14">
        <f>IF(COUNTIF('Selected 10'!$A$2:$A$11,A61)&gt;0,"YES","")</f>
        <v/>
      </c>
    </row>
    <row r="62">
      <c r="A62" s="11" t="inlineStr">
        <is>
          <t>sub-CC320608</t>
        </is>
      </c>
      <c r="B62" s="12" t="inlineStr">
        <is>
          <t>CC320608</t>
        </is>
      </c>
      <c r="C62" s="13" t="n">
        <v>45.17</v>
      </c>
      <c r="D62" s="13" t="n">
        <v>45</v>
      </c>
      <c r="E62" s="12" t="inlineStr">
        <is>
          <t>MALE</t>
        </is>
      </c>
      <c r="F62" s="12" t="inlineStr">
        <is>
          <t>32.23-45.47</t>
        </is>
      </c>
      <c r="G62" s="12" t="n">
        <v>2</v>
      </c>
      <c r="H62" s="14">
        <f>IF(COUNTIF('Selected 10'!$A$2:$A$11,A62)&gt;0,"YES","")</f>
        <v/>
      </c>
    </row>
    <row r="63">
      <c r="A63" s="11" t="inlineStr">
        <is>
          <t>sub-CC320616</t>
        </is>
      </c>
      <c r="B63" s="12" t="inlineStr">
        <is>
          <t>CC320616</t>
        </is>
      </c>
      <c r="C63" s="13" t="n">
        <v>39.08</v>
      </c>
      <c r="D63" s="13" t="n">
        <v>39</v>
      </c>
      <c r="E63" s="12" t="inlineStr">
        <is>
          <t>MALE</t>
        </is>
      </c>
      <c r="F63" s="12" t="inlineStr">
        <is>
          <t>32.23-45.47</t>
        </is>
      </c>
      <c r="G63" s="12" t="n">
        <v>2</v>
      </c>
      <c r="H63" s="14">
        <f>IF(COUNTIF('Selected 10'!$A$2:$A$11,A63)&gt;0,"YES","")</f>
        <v/>
      </c>
    </row>
    <row r="64">
      <c r="A64" s="11" t="inlineStr">
        <is>
          <t>sub-CC320621</t>
        </is>
      </c>
      <c r="B64" s="12" t="inlineStr">
        <is>
          <t>CC320621</t>
        </is>
      </c>
      <c r="C64" s="13" t="n">
        <v>46.08</v>
      </c>
      <c r="D64" s="13" t="n">
        <v>46</v>
      </c>
      <c r="E64" s="12" t="inlineStr">
        <is>
          <t>FEMALE</t>
        </is>
      </c>
      <c r="F64" s="12" t="inlineStr">
        <is>
          <t>45.47-58.70</t>
        </is>
      </c>
      <c r="G64" s="12" t="n">
        <v>3</v>
      </c>
      <c r="H64" s="14">
        <f>IF(COUNTIF('Selected 10'!$A$2:$A$11,A64)&gt;0,"YES","")</f>
        <v/>
      </c>
    </row>
    <row r="65">
      <c r="A65" s="11" t="inlineStr">
        <is>
          <t>sub-CC320636</t>
        </is>
      </c>
      <c r="B65" s="12" t="inlineStr">
        <is>
          <t>CC320636</t>
        </is>
      </c>
      <c r="C65" s="13" t="n">
        <v>45.33</v>
      </c>
      <c r="D65" s="13" t="n">
        <v>45</v>
      </c>
      <c r="E65" s="12" t="inlineStr">
        <is>
          <t>MALE</t>
        </is>
      </c>
      <c r="F65" s="12" t="inlineStr">
        <is>
          <t>32.23-45.47</t>
        </is>
      </c>
      <c r="G65" s="12" t="n">
        <v>2</v>
      </c>
      <c r="H65" s="14">
        <f>IF(COUNTIF('Selected 10'!$A$2:$A$11,A65)&gt;0,"YES","")</f>
        <v/>
      </c>
    </row>
    <row r="66">
      <c r="A66" s="11" t="inlineStr">
        <is>
          <t>sub-CC320698</t>
        </is>
      </c>
      <c r="B66" s="12" t="inlineStr">
        <is>
          <t>CC320698</t>
        </is>
      </c>
      <c r="C66" s="13" t="n">
        <v>45.42</v>
      </c>
      <c r="D66" s="13" t="n">
        <v>45</v>
      </c>
      <c r="E66" s="12" t="inlineStr">
        <is>
          <t>FEMALE</t>
        </is>
      </c>
      <c r="F66" s="12" t="inlineStr">
        <is>
          <t>32.23-45.47</t>
        </is>
      </c>
      <c r="G66" s="12" t="n">
        <v>2</v>
      </c>
      <c r="H66" s="14">
        <f>IF(COUNTIF('Selected 10'!$A$2:$A$11,A66)&gt;0,"YES","")</f>
        <v/>
      </c>
    </row>
    <row r="67">
      <c r="A67" s="11" t="inlineStr">
        <is>
          <t>sub-CC320776</t>
        </is>
      </c>
      <c r="B67" s="12" t="inlineStr">
        <is>
          <t>CC320776</t>
        </is>
      </c>
      <c r="C67" s="13" t="n">
        <v>47.33</v>
      </c>
      <c r="D67" s="13" t="n">
        <v>47</v>
      </c>
      <c r="E67" s="12" t="inlineStr">
        <is>
          <t>MALE</t>
        </is>
      </c>
      <c r="F67" s="12" t="inlineStr">
        <is>
          <t>45.47-58.70</t>
        </is>
      </c>
      <c r="G67" s="12" t="n">
        <v>3</v>
      </c>
      <c r="H67" s="14">
        <f>IF(COUNTIF('Selected 10'!$A$2:$A$11,A67)&gt;0,"YES","")</f>
        <v/>
      </c>
    </row>
    <row r="68">
      <c r="A68" s="11" t="inlineStr">
        <is>
          <t>sub-CC320850</t>
        </is>
      </c>
      <c r="B68" s="12" t="inlineStr">
        <is>
          <t>CC320850</t>
        </is>
      </c>
      <c r="C68" s="13" t="n">
        <v>47.17</v>
      </c>
      <c r="D68" s="13" t="n">
        <v>47</v>
      </c>
      <c r="E68" s="12" t="inlineStr">
        <is>
          <t>FEMALE</t>
        </is>
      </c>
      <c r="F68" s="12" t="inlineStr">
        <is>
          <t>45.47-58.70</t>
        </is>
      </c>
      <c r="G68" s="12" t="n">
        <v>3</v>
      </c>
      <c r="H68" s="14">
        <f>IF(COUNTIF('Selected 10'!$A$2:$A$11,A68)&gt;0,"YES","")</f>
        <v/>
      </c>
    </row>
    <row r="69">
      <c r="A69" s="11" t="inlineStr">
        <is>
          <t>sub-CC321025</t>
        </is>
      </c>
      <c r="B69" s="12" t="inlineStr">
        <is>
          <t>CC321025</t>
        </is>
      </c>
      <c r="C69" s="13" t="n">
        <v>40.25</v>
      </c>
      <c r="D69" s="13" t="n">
        <v>40</v>
      </c>
      <c r="E69" s="12" t="inlineStr">
        <is>
          <t>MALE</t>
        </is>
      </c>
      <c r="F69" s="12" t="inlineStr">
        <is>
          <t>32.23-45.47</t>
        </is>
      </c>
      <c r="G69" s="12" t="n">
        <v>2</v>
      </c>
      <c r="H69" s="14">
        <f>IF(COUNTIF('Selected 10'!$A$2:$A$11,A69)&gt;0,"YES","")</f>
        <v/>
      </c>
    </row>
    <row r="70">
      <c r="A70" s="11" t="inlineStr">
        <is>
          <t>sub-CC410091</t>
        </is>
      </c>
      <c r="B70" s="12" t="inlineStr">
        <is>
          <t>CC410091</t>
        </is>
      </c>
      <c r="C70" s="13" t="n">
        <v>57</v>
      </c>
      <c r="D70" s="13" t="n">
        <v>57</v>
      </c>
      <c r="E70" s="12" t="inlineStr">
        <is>
          <t>FEMALE</t>
        </is>
      </c>
      <c r="F70" s="12" t="inlineStr">
        <is>
          <t>45.47-58.70</t>
        </is>
      </c>
      <c r="G70" s="12" t="n">
        <v>3</v>
      </c>
      <c r="H70" s="14">
        <f>IF(COUNTIF('Selected 10'!$A$2:$A$11,A70)&gt;0,"YES","")</f>
        <v/>
      </c>
    </row>
    <row r="71">
      <c r="A71" s="11" t="inlineStr">
        <is>
          <t>sub-CC410097</t>
        </is>
      </c>
      <c r="B71" s="12" t="inlineStr">
        <is>
          <t>CC410097</t>
        </is>
      </c>
      <c r="C71" s="13" t="n">
        <v>49.92</v>
      </c>
      <c r="D71" s="13" t="n">
        <v>49</v>
      </c>
      <c r="E71" s="12" t="inlineStr">
        <is>
          <t>FEMALE</t>
        </is>
      </c>
      <c r="F71" s="12" t="inlineStr">
        <is>
          <t>45.47-58.70</t>
        </is>
      </c>
      <c r="G71" s="12" t="n">
        <v>3</v>
      </c>
      <c r="H71" s="14">
        <f>IF(COUNTIF('Selected 10'!$A$2:$A$11,A71)&gt;0,"YES","")</f>
        <v/>
      </c>
    </row>
    <row r="72">
      <c r="A72" s="11" t="inlineStr">
        <is>
          <t>sub-CC410129</t>
        </is>
      </c>
      <c r="B72" s="12" t="inlineStr">
        <is>
          <t>CC410129</t>
        </is>
      </c>
      <c r="C72" s="13" t="n">
        <v>58.25</v>
      </c>
      <c r="D72" s="13" t="n">
        <v>58</v>
      </c>
      <c r="E72" s="12" t="inlineStr">
        <is>
          <t>MALE</t>
        </is>
      </c>
      <c r="F72" s="12" t="inlineStr">
        <is>
          <t>45.47-58.70</t>
        </is>
      </c>
      <c r="G72" s="12" t="n">
        <v>3</v>
      </c>
      <c r="H72" s="14">
        <f>IF(COUNTIF('Selected 10'!$A$2:$A$11,A72)&gt;0,"YES","")</f>
        <v/>
      </c>
    </row>
    <row r="73">
      <c r="A73" s="11" t="inlineStr">
        <is>
          <t>sub-CC410182</t>
        </is>
      </c>
      <c r="B73" s="12" t="inlineStr">
        <is>
          <t>CC410182</t>
        </is>
      </c>
      <c r="C73" s="13" t="n">
        <v>53.33</v>
      </c>
      <c r="D73" s="13" t="n">
        <v>53</v>
      </c>
      <c r="E73" s="12" t="inlineStr">
        <is>
          <t>FEMALE</t>
        </is>
      </c>
      <c r="F73" s="12" t="inlineStr">
        <is>
          <t>45.47-58.70</t>
        </is>
      </c>
      <c r="G73" s="12" t="n">
        <v>3</v>
      </c>
      <c r="H73" s="14">
        <f>IF(COUNTIF('Selected 10'!$A$2:$A$11,A73)&gt;0,"YES","")</f>
        <v/>
      </c>
    </row>
    <row r="74">
      <c r="A74" s="11" t="inlineStr">
        <is>
          <t>sub-CC410243</t>
        </is>
      </c>
      <c r="B74" s="12" t="inlineStr">
        <is>
          <t>CC410243</t>
        </is>
      </c>
      <c r="C74" s="13" t="n">
        <v>56.92</v>
      </c>
      <c r="D74" s="13" t="n">
        <v>56</v>
      </c>
      <c r="E74" s="12" t="inlineStr">
        <is>
          <t>FEMALE</t>
        </is>
      </c>
      <c r="F74" s="12" t="inlineStr">
        <is>
          <t>45.47-58.70</t>
        </is>
      </c>
      <c r="G74" s="12" t="n">
        <v>3</v>
      </c>
      <c r="H74" s="14">
        <f>IF(COUNTIF('Selected 10'!$A$2:$A$11,A74)&gt;0,"YES","")</f>
        <v/>
      </c>
    </row>
    <row r="75">
      <c r="A75" s="11" t="inlineStr">
        <is>
          <t>sub-CC410251</t>
        </is>
      </c>
      <c r="B75" s="12" t="inlineStr">
        <is>
          <t>CC410251</t>
        </is>
      </c>
      <c r="C75" s="13" t="n">
        <v>53.75</v>
      </c>
      <c r="D75" s="13" t="n">
        <v>53</v>
      </c>
      <c r="E75" s="12" t="inlineStr">
        <is>
          <t>FEMALE</t>
        </is>
      </c>
      <c r="F75" s="12" t="inlineStr">
        <is>
          <t>45.47-58.70</t>
        </is>
      </c>
      <c r="G75" s="12" t="n">
        <v>3</v>
      </c>
      <c r="H75" s="14">
        <f>IF(COUNTIF('Selected 10'!$A$2:$A$11,A75)&gt;0,"YES","")</f>
        <v/>
      </c>
    </row>
    <row r="76">
      <c r="A76" s="11" t="inlineStr">
        <is>
          <t>sub-CC410387</t>
        </is>
      </c>
      <c r="B76" s="12" t="inlineStr">
        <is>
          <t>CC410387</t>
        </is>
      </c>
      <c r="C76" s="13" t="n">
        <v>57.83</v>
      </c>
      <c r="D76" s="13" t="n">
        <v>57</v>
      </c>
      <c r="E76" s="12" t="inlineStr">
        <is>
          <t>MALE</t>
        </is>
      </c>
      <c r="F76" s="12" t="inlineStr">
        <is>
          <t>45.47-58.70</t>
        </is>
      </c>
      <c r="G76" s="12" t="n">
        <v>3</v>
      </c>
      <c r="H76" s="14">
        <f>IF(COUNTIF('Selected 10'!$A$2:$A$11,A76)&gt;0,"YES","")</f>
        <v/>
      </c>
    </row>
    <row r="77">
      <c r="A77" s="11" t="inlineStr">
        <is>
          <t>sub-CC410432</t>
        </is>
      </c>
      <c r="B77" s="12" t="inlineStr">
        <is>
          <t>CC410432</t>
        </is>
      </c>
      <c r="C77" s="13" t="n">
        <v>52.58</v>
      </c>
      <c r="D77" s="13" t="n">
        <v>52</v>
      </c>
      <c r="E77" s="12" t="inlineStr">
        <is>
          <t>MALE</t>
        </is>
      </c>
      <c r="F77" s="12" t="inlineStr">
        <is>
          <t>45.47-58.70</t>
        </is>
      </c>
      <c r="G77" s="12" t="n">
        <v>3</v>
      </c>
      <c r="H77" s="14">
        <f>IF(COUNTIF('Selected 10'!$A$2:$A$11,A77)&gt;0,"YES","")</f>
        <v/>
      </c>
    </row>
    <row r="78">
      <c r="A78" s="11" t="inlineStr">
        <is>
          <t>sub-CC420004</t>
        </is>
      </c>
      <c r="B78" s="12" t="inlineStr">
        <is>
          <t>CC420004</t>
        </is>
      </c>
      <c r="C78" s="13" t="n">
        <v>49.5</v>
      </c>
      <c r="D78" s="13" t="n">
        <v>49</v>
      </c>
      <c r="E78" s="12" t="inlineStr">
        <is>
          <t>FEMALE</t>
        </is>
      </c>
      <c r="F78" s="12" t="inlineStr">
        <is>
          <t>45.47-58.70</t>
        </is>
      </c>
      <c r="G78" s="12" t="n">
        <v>3</v>
      </c>
      <c r="H78" s="14">
        <f>IF(COUNTIF('Selected 10'!$A$2:$A$11,A78)&gt;0,"YES","")</f>
        <v/>
      </c>
    </row>
    <row r="79">
      <c r="A79" s="11" t="inlineStr">
        <is>
          <t>sub-CC420071</t>
        </is>
      </c>
      <c r="B79" s="12" t="inlineStr">
        <is>
          <t>CC420071</t>
        </is>
      </c>
      <c r="C79" s="13" t="n">
        <v>52.58</v>
      </c>
      <c r="D79" s="13" t="n">
        <v>52</v>
      </c>
      <c r="E79" s="12" t="inlineStr">
        <is>
          <t>FEMALE</t>
        </is>
      </c>
      <c r="F79" s="12" t="inlineStr">
        <is>
          <t>45.47-58.70</t>
        </is>
      </c>
      <c r="G79" s="12" t="n">
        <v>3</v>
      </c>
      <c r="H79" s="14">
        <f>IF(COUNTIF('Selected 10'!$A$2:$A$11,A79)&gt;0,"YES","")</f>
        <v/>
      </c>
    </row>
    <row r="80">
      <c r="A80" s="11" t="inlineStr">
        <is>
          <t>sub-CC420075</t>
        </is>
      </c>
      <c r="B80" s="12" t="inlineStr">
        <is>
          <t>CC420075</t>
        </is>
      </c>
      <c r="C80" s="13" t="n">
        <v>52.83</v>
      </c>
      <c r="D80" s="13" t="n">
        <v>52</v>
      </c>
      <c r="E80" s="12" t="inlineStr">
        <is>
          <t>MALE</t>
        </is>
      </c>
      <c r="F80" s="12" t="inlineStr">
        <is>
          <t>45.47-58.70</t>
        </is>
      </c>
      <c r="G80" s="12" t="n">
        <v>3</v>
      </c>
      <c r="H80" s="14">
        <f>IF(COUNTIF('Selected 10'!$A$2:$A$11,A80)&gt;0,"YES","")</f>
        <v/>
      </c>
    </row>
    <row r="81">
      <c r="A81" s="11" t="inlineStr">
        <is>
          <t>sub-CC420094</t>
        </is>
      </c>
      <c r="B81" s="12" t="inlineStr">
        <is>
          <t>CC420094</t>
        </is>
      </c>
      <c r="C81" s="13" t="n">
        <v>56.17</v>
      </c>
      <c r="D81" s="13" t="n">
        <v>56</v>
      </c>
      <c r="E81" s="12" t="inlineStr">
        <is>
          <t>MALE</t>
        </is>
      </c>
      <c r="F81" s="12" t="inlineStr">
        <is>
          <t>45.47-58.70</t>
        </is>
      </c>
      <c r="G81" s="12" t="n">
        <v>3</v>
      </c>
      <c r="H81" s="14">
        <f>IF(COUNTIF('Selected 10'!$A$2:$A$11,A81)&gt;0,"YES","")</f>
        <v/>
      </c>
    </row>
    <row r="82">
      <c r="A82" s="11" t="inlineStr">
        <is>
          <t>sub-CC420100</t>
        </is>
      </c>
      <c r="B82" s="12" t="inlineStr">
        <is>
          <t>CC420100</t>
        </is>
      </c>
      <c r="C82" s="13" t="n">
        <v>56.42</v>
      </c>
      <c r="D82" s="13" t="n">
        <v>56</v>
      </c>
      <c r="E82" s="12" t="inlineStr">
        <is>
          <t>MALE</t>
        </is>
      </c>
      <c r="F82" s="12" t="inlineStr">
        <is>
          <t>45.47-58.70</t>
        </is>
      </c>
      <c r="G82" s="12" t="n">
        <v>3</v>
      </c>
      <c r="H82" s="14">
        <f>IF(COUNTIF('Selected 10'!$A$2:$A$11,A82)&gt;0,"YES","")</f>
        <v/>
      </c>
    </row>
    <row r="83">
      <c r="A83" s="11" t="inlineStr">
        <is>
          <t>sub-CC420137</t>
        </is>
      </c>
      <c r="B83" s="12" t="inlineStr">
        <is>
          <t>CC420137</t>
        </is>
      </c>
      <c r="C83" s="13" t="n">
        <v>56.33</v>
      </c>
      <c r="D83" s="13" t="n">
        <v>56</v>
      </c>
      <c r="E83" s="12" t="inlineStr">
        <is>
          <t>MALE</t>
        </is>
      </c>
      <c r="F83" s="12" t="inlineStr">
        <is>
          <t>45.47-58.70</t>
        </is>
      </c>
      <c r="G83" s="12" t="n">
        <v>3</v>
      </c>
      <c r="H83" s="14">
        <f>IF(COUNTIF('Selected 10'!$A$2:$A$11,A83)&gt;0,"YES","")</f>
        <v/>
      </c>
    </row>
    <row r="84">
      <c r="A84" s="11" t="inlineStr">
        <is>
          <t>sub-CC420197</t>
        </is>
      </c>
      <c r="B84" s="12" t="inlineStr">
        <is>
          <t>CC420197</t>
        </is>
      </c>
      <c r="C84" s="13" t="n">
        <v>55.25</v>
      </c>
      <c r="D84" s="13" t="n">
        <v>55</v>
      </c>
      <c r="E84" s="12" t="inlineStr">
        <is>
          <t>FEMALE</t>
        </is>
      </c>
      <c r="F84" s="12" t="inlineStr">
        <is>
          <t>45.47-58.70</t>
        </is>
      </c>
      <c r="G84" s="12" t="n">
        <v>3</v>
      </c>
      <c r="H84" s="14">
        <f>IF(COUNTIF('Selected 10'!$A$2:$A$11,A84)&gt;0,"YES","")</f>
        <v/>
      </c>
    </row>
    <row r="85">
      <c r="A85" s="11" t="inlineStr">
        <is>
          <t>sub-CC420222</t>
        </is>
      </c>
      <c r="B85" s="12" t="inlineStr">
        <is>
          <t>CC420222</t>
        </is>
      </c>
      <c r="C85" s="13" t="n">
        <v>55.92</v>
      </c>
      <c r="D85" s="13" t="n">
        <v>55</v>
      </c>
      <c r="E85" s="12" t="inlineStr">
        <is>
          <t>MALE</t>
        </is>
      </c>
      <c r="F85" s="12" t="inlineStr">
        <is>
          <t>45.47-58.70</t>
        </is>
      </c>
      <c r="G85" s="12" t="n">
        <v>3</v>
      </c>
      <c r="H85" s="14">
        <f>IF(COUNTIF('Selected 10'!$A$2:$A$11,A85)&gt;0,"YES","")</f>
        <v/>
      </c>
    </row>
    <row r="86">
      <c r="A86" s="11" t="inlineStr">
        <is>
          <t>sub-CC420260</t>
        </is>
      </c>
      <c r="B86" s="12" t="inlineStr">
        <is>
          <t>CC420260</t>
        </is>
      </c>
      <c r="C86" s="13" t="n">
        <v>50.67</v>
      </c>
      <c r="D86" s="13" t="n">
        <v>50</v>
      </c>
      <c r="E86" s="12" t="inlineStr">
        <is>
          <t>FEMALE</t>
        </is>
      </c>
      <c r="F86" s="12" t="inlineStr">
        <is>
          <t>45.47-58.70</t>
        </is>
      </c>
      <c r="G86" s="12" t="n">
        <v>3</v>
      </c>
      <c r="H86" s="14">
        <f>IF(COUNTIF('Selected 10'!$A$2:$A$11,A86)&gt;0,"YES","")</f>
        <v/>
      </c>
    </row>
    <row r="87">
      <c r="A87" s="11" t="inlineStr">
        <is>
          <t>sub-CC420383</t>
        </is>
      </c>
      <c r="B87" s="12" t="inlineStr">
        <is>
          <t>CC420383</t>
        </is>
      </c>
      <c r="C87" s="13" t="n">
        <v>48.83</v>
      </c>
      <c r="D87" s="13" t="n">
        <v>48</v>
      </c>
      <c r="E87" s="12" t="inlineStr">
        <is>
          <t>FEMALE</t>
        </is>
      </c>
      <c r="F87" s="12" t="inlineStr">
        <is>
          <t>45.47-58.70</t>
        </is>
      </c>
      <c r="G87" s="12" t="n">
        <v>3</v>
      </c>
      <c r="H87" s="14">
        <f>IF(COUNTIF('Selected 10'!$A$2:$A$11,A87)&gt;0,"YES","")</f>
        <v/>
      </c>
    </row>
    <row r="88">
      <c r="A88" s="11" t="inlineStr">
        <is>
          <t>sub-CC420729</t>
        </is>
      </c>
      <c r="B88" s="12" t="inlineStr">
        <is>
          <t>CC420729</t>
        </is>
      </c>
      <c r="C88" s="13" t="n">
        <v>56.17</v>
      </c>
      <c r="D88" s="13" t="n">
        <v>56</v>
      </c>
      <c r="E88" s="12" t="inlineStr">
        <is>
          <t>FEMALE</t>
        </is>
      </c>
      <c r="F88" s="12" t="inlineStr">
        <is>
          <t>45.47-58.70</t>
        </is>
      </c>
      <c r="G88" s="12" t="n">
        <v>3</v>
      </c>
      <c r="H88" s="14">
        <f>IF(COUNTIF('Selected 10'!$A$2:$A$11,A88)&gt;0,"YES","")</f>
        <v/>
      </c>
    </row>
    <row r="89">
      <c r="A89" s="11" t="inlineStr">
        <is>
          <t>sub-CC510043</t>
        </is>
      </c>
      <c r="B89" s="12" t="inlineStr">
        <is>
          <t>CC510043</t>
        </is>
      </c>
      <c r="C89" s="13" t="n">
        <v>58.58</v>
      </c>
      <c r="D89" s="13" t="n">
        <v>58</v>
      </c>
      <c r="E89" s="12" t="inlineStr">
        <is>
          <t>MALE</t>
        </is>
      </c>
      <c r="F89" s="12" t="inlineStr">
        <is>
          <t>45.47-58.70</t>
        </is>
      </c>
      <c r="G89" s="12" t="n">
        <v>3</v>
      </c>
      <c r="H89" s="14">
        <f>IF(COUNTIF('Selected 10'!$A$2:$A$11,A89)&gt;0,"YES","")</f>
        <v/>
      </c>
    </row>
    <row r="90">
      <c r="A90" s="11" t="inlineStr">
        <is>
          <t>sub-CC510255</t>
        </is>
      </c>
      <c r="B90" s="12" t="inlineStr">
        <is>
          <t>CC510255</t>
        </is>
      </c>
      <c r="C90" s="13" t="n">
        <v>62.92</v>
      </c>
      <c r="D90" s="13" t="n">
        <v>62</v>
      </c>
      <c r="E90" s="12" t="inlineStr">
        <is>
          <t>MALE</t>
        </is>
      </c>
      <c r="F90" s="12" t="inlineStr">
        <is>
          <t>58.70-71.94</t>
        </is>
      </c>
      <c r="G90" s="12" t="n">
        <v>4</v>
      </c>
      <c r="H90" s="14">
        <f>IF(COUNTIF('Selected 10'!$A$2:$A$11,A90)&gt;0,"YES","")</f>
        <v/>
      </c>
    </row>
    <row r="91">
      <c r="A91" s="11" t="inlineStr">
        <is>
          <t>sub-CC510256</t>
        </is>
      </c>
      <c r="B91" s="12" t="inlineStr">
        <is>
          <t>CC510256</t>
        </is>
      </c>
      <c r="C91" s="13" t="n">
        <v>64</v>
      </c>
      <c r="D91" s="13" t="n">
        <v>63</v>
      </c>
      <c r="E91" s="12" t="inlineStr">
        <is>
          <t>MALE</t>
        </is>
      </c>
      <c r="F91" s="12" t="inlineStr">
        <is>
          <t>58.70-71.94</t>
        </is>
      </c>
      <c r="G91" s="12" t="n">
        <v>4</v>
      </c>
      <c r="H91" s="14">
        <f>IF(COUNTIF('Selected 10'!$A$2:$A$11,A91)&gt;0,"YES","")</f>
        <v/>
      </c>
    </row>
    <row r="92">
      <c r="A92" s="11" t="inlineStr">
        <is>
          <t>sub-CC510393</t>
        </is>
      </c>
      <c r="B92" s="12" t="inlineStr">
        <is>
          <t>CC510393</t>
        </is>
      </c>
      <c r="C92" s="13" t="n">
        <v>68.08</v>
      </c>
      <c r="D92" s="13" t="n">
        <v>68</v>
      </c>
      <c r="E92" s="12" t="inlineStr">
        <is>
          <t>MALE</t>
        </is>
      </c>
      <c r="F92" s="12" t="inlineStr">
        <is>
          <t>58.70-71.94</t>
        </is>
      </c>
      <c r="G92" s="12" t="n">
        <v>4</v>
      </c>
      <c r="H92" s="14">
        <f>IF(COUNTIF('Selected 10'!$A$2:$A$11,A92)&gt;0,"YES","")</f>
        <v/>
      </c>
    </row>
    <row r="93">
      <c r="A93" s="11" t="inlineStr">
        <is>
          <t>sub-CC510415</t>
        </is>
      </c>
      <c r="B93" s="12" t="inlineStr">
        <is>
          <t>CC510415</t>
        </is>
      </c>
      <c r="C93" s="13" t="n">
        <v>64.17</v>
      </c>
      <c r="D93" s="13" t="n">
        <v>64</v>
      </c>
      <c r="E93" s="12" t="inlineStr">
        <is>
          <t>FEMALE</t>
        </is>
      </c>
      <c r="F93" s="12" t="inlineStr">
        <is>
          <t>58.70-71.94</t>
        </is>
      </c>
      <c r="G93" s="12" t="n">
        <v>4</v>
      </c>
      <c r="H93" s="14">
        <f>IF(COUNTIF('Selected 10'!$A$2:$A$11,A93)&gt;0,"YES","")</f>
        <v/>
      </c>
    </row>
    <row r="94">
      <c r="A94" s="11" t="inlineStr">
        <is>
          <t>sub-CC510568</t>
        </is>
      </c>
      <c r="B94" s="12" t="inlineStr">
        <is>
          <t>CC510568</t>
        </is>
      </c>
      <c r="C94" s="13" t="n">
        <v>60.58</v>
      </c>
      <c r="D94" s="13" t="n">
        <v>60</v>
      </c>
      <c r="E94" s="12" t="inlineStr">
        <is>
          <t>MALE</t>
        </is>
      </c>
      <c r="F94" s="12" t="inlineStr">
        <is>
          <t>58.70-71.94</t>
        </is>
      </c>
      <c r="G94" s="12" t="n">
        <v>4</v>
      </c>
      <c r="H94" s="14">
        <f>IF(COUNTIF('Selected 10'!$A$2:$A$11,A94)&gt;0,"YES","")</f>
        <v/>
      </c>
    </row>
    <row r="95">
      <c r="A95" s="11" t="inlineStr">
        <is>
          <t>sub-CC510609</t>
        </is>
      </c>
      <c r="B95" s="12" t="inlineStr">
        <is>
          <t>CC510609</t>
        </is>
      </c>
      <c r="C95" s="13" t="n">
        <v>59.17</v>
      </c>
      <c r="D95" s="13" t="n">
        <v>59</v>
      </c>
      <c r="E95" s="12" t="inlineStr">
        <is>
          <t>MALE</t>
        </is>
      </c>
      <c r="F95" s="12" t="inlineStr">
        <is>
          <t>58.70-71.94</t>
        </is>
      </c>
      <c r="G95" s="12" t="n">
        <v>4</v>
      </c>
      <c r="H95" s="14">
        <f>IF(COUNTIF('Selected 10'!$A$2:$A$11,A95)&gt;0,"YES","")</f>
        <v/>
      </c>
    </row>
    <row r="96">
      <c r="A96" s="11" t="inlineStr">
        <is>
          <t>sub-CC520065</t>
        </is>
      </c>
      <c r="B96" s="12" t="inlineStr">
        <is>
          <t>CC520065</t>
        </is>
      </c>
      <c r="C96" s="13" t="n">
        <v>60.75</v>
      </c>
      <c r="D96" s="13" t="n">
        <v>60</v>
      </c>
      <c r="E96" s="12" t="inlineStr">
        <is>
          <t>MALE</t>
        </is>
      </c>
      <c r="F96" s="12" t="inlineStr">
        <is>
          <t>58.70-71.94</t>
        </is>
      </c>
      <c r="G96" s="12" t="n">
        <v>4</v>
      </c>
      <c r="H96" s="14">
        <f>IF(COUNTIF('Selected 10'!$A$2:$A$11,A96)&gt;0,"YES","")</f>
        <v/>
      </c>
    </row>
    <row r="97">
      <c r="A97" s="11" t="inlineStr">
        <is>
          <t>sub-CC520083</t>
        </is>
      </c>
      <c r="B97" s="12" t="inlineStr">
        <is>
          <t>CC520083</t>
        </is>
      </c>
      <c r="C97" s="13" t="n">
        <v>65.08</v>
      </c>
      <c r="D97" s="13" t="n">
        <v>65</v>
      </c>
      <c r="E97" s="12" t="inlineStr">
        <is>
          <t>FEMALE</t>
        </is>
      </c>
      <c r="F97" s="12" t="inlineStr">
        <is>
          <t>58.70-71.94</t>
        </is>
      </c>
      <c r="G97" s="12" t="n">
        <v>4</v>
      </c>
      <c r="H97" s="14">
        <f>IF(COUNTIF('Selected 10'!$A$2:$A$11,A97)&gt;0,"YES","")</f>
        <v/>
      </c>
    </row>
    <row r="98">
      <c r="A98" s="11" t="inlineStr">
        <is>
          <t>sub-CC520122</t>
        </is>
      </c>
      <c r="B98" s="12" t="inlineStr">
        <is>
          <t>CC520122</t>
        </is>
      </c>
      <c r="C98" s="13" t="n">
        <v>67.08</v>
      </c>
      <c r="D98" s="13" t="n">
        <v>67</v>
      </c>
      <c r="E98" s="12" t="inlineStr">
        <is>
          <t>MALE</t>
        </is>
      </c>
      <c r="F98" s="12" t="inlineStr">
        <is>
          <t>58.70-71.94</t>
        </is>
      </c>
      <c r="G98" s="12" t="n">
        <v>4</v>
      </c>
      <c r="H98" s="14">
        <f>IF(COUNTIF('Selected 10'!$A$2:$A$11,A98)&gt;0,"YES","")</f>
        <v/>
      </c>
    </row>
    <row r="99">
      <c r="A99" s="11" t="inlineStr">
        <is>
          <t>sub-CC520127</t>
        </is>
      </c>
      <c r="B99" s="12" t="inlineStr">
        <is>
          <t>CC520127</t>
        </is>
      </c>
      <c r="C99" s="13" t="n">
        <v>66</v>
      </c>
      <c r="D99" s="13" t="n">
        <v>66</v>
      </c>
      <c r="E99" s="12" t="inlineStr">
        <is>
          <t>MALE</t>
        </is>
      </c>
      <c r="F99" s="12" t="inlineStr">
        <is>
          <t>58.70-71.94</t>
        </is>
      </c>
      <c r="G99" s="12" t="n">
        <v>4</v>
      </c>
      <c r="H99" s="14">
        <f>IF(COUNTIF('Selected 10'!$A$2:$A$11,A99)&gt;0,"YES","")</f>
        <v/>
      </c>
    </row>
    <row r="100">
      <c r="A100" s="11" t="inlineStr">
        <is>
          <t>sub-CC520147</t>
        </is>
      </c>
      <c r="B100" s="12" t="inlineStr">
        <is>
          <t>CC520147</t>
        </is>
      </c>
      <c r="C100" s="13" t="n">
        <v>61.33</v>
      </c>
      <c r="D100" s="13" t="n">
        <v>61</v>
      </c>
      <c r="E100" s="12" t="inlineStr">
        <is>
          <t>FEMALE</t>
        </is>
      </c>
      <c r="F100" s="12" t="inlineStr">
        <is>
          <t>58.70-71.94</t>
        </is>
      </c>
      <c r="G100" s="12" t="n">
        <v>4</v>
      </c>
      <c r="H100" s="14">
        <f>IF(COUNTIF('Selected 10'!$A$2:$A$11,A100)&gt;0,"YES","")</f>
        <v/>
      </c>
    </row>
    <row r="101">
      <c r="A101" s="11" t="inlineStr">
        <is>
          <t>sub-CC520175</t>
        </is>
      </c>
      <c r="B101" s="12" t="inlineStr">
        <is>
          <t>CC520175</t>
        </is>
      </c>
      <c r="C101" s="13" t="n">
        <v>61.25</v>
      </c>
      <c r="D101" s="13" t="n">
        <v>61</v>
      </c>
      <c r="E101" s="12" t="inlineStr">
        <is>
          <t>MALE</t>
        </is>
      </c>
      <c r="F101" s="12" t="inlineStr">
        <is>
          <t>58.70-71.94</t>
        </is>
      </c>
      <c r="G101" s="12" t="n">
        <v>4</v>
      </c>
      <c r="H101" s="14">
        <f>IF(COUNTIF('Selected 10'!$A$2:$A$11,A101)&gt;0,"YES","")</f>
        <v/>
      </c>
    </row>
    <row r="102">
      <c r="A102" s="11" t="inlineStr">
        <is>
          <t>sub-CC520247</t>
        </is>
      </c>
      <c r="B102" s="12" t="inlineStr">
        <is>
          <t>CC520247</t>
        </is>
      </c>
      <c r="C102" s="13" t="n">
        <v>63.75</v>
      </c>
      <c r="D102" s="13" t="n">
        <v>63</v>
      </c>
      <c r="E102" s="12" t="inlineStr">
        <is>
          <t>MALE</t>
        </is>
      </c>
      <c r="F102" s="12" t="inlineStr">
        <is>
          <t>58.70-71.94</t>
        </is>
      </c>
      <c r="G102" s="12" t="n">
        <v>4</v>
      </c>
      <c r="H102" s="14">
        <f>IF(COUNTIF('Selected 10'!$A$2:$A$11,A102)&gt;0,"YES","")</f>
        <v/>
      </c>
    </row>
    <row r="103">
      <c r="A103" s="11" t="inlineStr">
        <is>
          <t>sub-CC520477</t>
        </is>
      </c>
      <c r="B103" s="12" t="inlineStr">
        <is>
          <t>CC520477</t>
        </is>
      </c>
      <c r="C103" s="13" t="n">
        <v>66.25</v>
      </c>
      <c r="D103" s="13" t="n">
        <v>66</v>
      </c>
      <c r="E103" s="12" t="inlineStr">
        <is>
          <t>MALE</t>
        </is>
      </c>
      <c r="F103" s="12" t="inlineStr">
        <is>
          <t>58.70-71.94</t>
        </is>
      </c>
      <c r="G103" s="12" t="n">
        <v>4</v>
      </c>
      <c r="H103" s="14">
        <f>IF(COUNTIF('Selected 10'!$A$2:$A$11,A103)&gt;0,"YES","")</f>
        <v/>
      </c>
    </row>
    <row r="104">
      <c r="A104" s="11" t="inlineStr">
        <is>
          <t>sub-CC520480</t>
        </is>
      </c>
      <c r="B104" s="12" t="inlineStr">
        <is>
          <t>CC520480</t>
        </is>
      </c>
      <c r="C104" s="13" t="n">
        <v>60.75</v>
      </c>
      <c r="D104" s="13" t="n">
        <v>60</v>
      </c>
      <c r="E104" s="12" t="inlineStr">
        <is>
          <t>MALE</t>
        </is>
      </c>
      <c r="F104" s="12" t="inlineStr">
        <is>
          <t>58.70-71.94</t>
        </is>
      </c>
      <c r="G104" s="12" t="n">
        <v>4</v>
      </c>
      <c r="H104" s="14">
        <f>IF(COUNTIF('Selected 10'!$A$2:$A$11,A104)&gt;0,"YES","")</f>
        <v/>
      </c>
    </row>
    <row r="105">
      <c r="A105" s="11" t="inlineStr">
        <is>
          <t>sub-CC520503</t>
        </is>
      </c>
      <c r="B105" s="12" t="inlineStr">
        <is>
          <t>CC520503</t>
        </is>
      </c>
      <c r="C105" s="13" t="n">
        <v>66.58</v>
      </c>
      <c r="D105" s="13" t="n">
        <v>66</v>
      </c>
      <c r="E105" s="12" t="inlineStr">
        <is>
          <t>MALE</t>
        </is>
      </c>
      <c r="F105" s="12" t="inlineStr">
        <is>
          <t>58.70-71.94</t>
        </is>
      </c>
      <c r="G105" s="12" t="n">
        <v>4</v>
      </c>
      <c r="H105" s="14">
        <f>IF(COUNTIF('Selected 10'!$A$2:$A$11,A105)&gt;0,"YES","")</f>
        <v/>
      </c>
    </row>
    <row r="106">
      <c r="A106" s="11" t="inlineStr">
        <is>
          <t>sub-CC520552</t>
        </is>
      </c>
      <c r="B106" s="12" t="inlineStr">
        <is>
          <t>CC520552</t>
        </is>
      </c>
      <c r="C106" s="13" t="n">
        <v>64.58</v>
      </c>
      <c r="D106" s="13" t="n">
        <v>64</v>
      </c>
      <c r="E106" s="12" t="inlineStr">
        <is>
          <t>MALE</t>
        </is>
      </c>
      <c r="F106" s="12" t="inlineStr">
        <is>
          <t>58.70-71.94</t>
        </is>
      </c>
      <c r="G106" s="12" t="n">
        <v>4</v>
      </c>
      <c r="H106" s="14">
        <f>IF(COUNTIF('Selected 10'!$A$2:$A$11,A106)&gt;0,"YES","")</f>
        <v/>
      </c>
    </row>
    <row r="107">
      <c r="A107" s="11" t="inlineStr">
        <is>
          <t>sub-CC520584</t>
        </is>
      </c>
      <c r="B107" s="12" t="inlineStr">
        <is>
          <t>CC520584</t>
        </is>
      </c>
      <c r="C107" s="13" t="n">
        <v>59.42</v>
      </c>
      <c r="D107" s="13" t="n">
        <v>59</v>
      </c>
      <c r="E107" s="12" t="inlineStr">
        <is>
          <t>FEMALE</t>
        </is>
      </c>
      <c r="F107" s="12" t="inlineStr">
        <is>
          <t>58.70-71.94</t>
        </is>
      </c>
      <c r="G107" s="12" t="n">
        <v>4</v>
      </c>
      <c r="H107" s="14">
        <f>IF(COUNTIF('Selected 10'!$A$2:$A$11,A107)&gt;0,"YES","")</f>
        <v/>
      </c>
    </row>
    <row r="108">
      <c r="A108" s="11" t="inlineStr">
        <is>
          <t>sub-CC610039</t>
        </is>
      </c>
      <c r="B108" s="12" t="inlineStr">
        <is>
          <t>CC610039</t>
        </is>
      </c>
      <c r="C108" s="13" t="n">
        <v>70.33</v>
      </c>
      <c r="D108" s="13" t="n">
        <v>70</v>
      </c>
      <c r="E108" s="12" t="inlineStr">
        <is>
          <t>MALE</t>
        </is>
      </c>
      <c r="F108" s="12" t="inlineStr">
        <is>
          <t>58.70-71.94</t>
        </is>
      </c>
      <c r="G108" s="12" t="n">
        <v>4</v>
      </c>
      <c r="H108" s="14">
        <f>IF(COUNTIF('Selected 10'!$A$2:$A$11,A108)&gt;0,"YES","")</f>
        <v/>
      </c>
    </row>
    <row r="109">
      <c r="A109" s="11" t="inlineStr">
        <is>
          <t>sub-CC610061</t>
        </is>
      </c>
      <c r="B109" s="12" t="inlineStr">
        <is>
          <t>CC610061</t>
        </is>
      </c>
      <c r="C109" s="13" t="n">
        <v>76.92</v>
      </c>
      <c r="D109" s="13" t="n">
        <v>76</v>
      </c>
      <c r="E109" s="12" t="inlineStr">
        <is>
          <t>FEMALE</t>
        </is>
      </c>
      <c r="F109" s="12" t="inlineStr">
        <is>
          <t>71.94-85.17</t>
        </is>
      </c>
      <c r="G109" s="12" t="n">
        <v>5</v>
      </c>
      <c r="H109" s="14">
        <f>IF(COUNTIF('Selected 10'!$A$2:$A$11,A109)&gt;0,"YES","")</f>
        <v/>
      </c>
    </row>
    <row r="110">
      <c r="A110" s="11" t="inlineStr">
        <is>
          <t>sub-CC610178</t>
        </is>
      </c>
      <c r="B110" s="12" t="inlineStr">
        <is>
          <t>CC610178</t>
        </is>
      </c>
      <c r="C110" s="13" t="n">
        <v>72.92</v>
      </c>
      <c r="D110" s="13" t="n">
        <v>72</v>
      </c>
      <c r="E110" s="12" t="inlineStr">
        <is>
          <t>MALE</t>
        </is>
      </c>
      <c r="F110" s="12" t="inlineStr">
        <is>
          <t>71.94-85.17</t>
        </is>
      </c>
      <c r="G110" s="12" t="n">
        <v>5</v>
      </c>
      <c r="H110" s="14">
        <f>IF(COUNTIF('Selected 10'!$A$2:$A$11,A110)&gt;0,"YES","")</f>
        <v/>
      </c>
    </row>
    <row r="111">
      <c r="A111" s="11" t="inlineStr">
        <is>
          <t>sub-CC610210</t>
        </is>
      </c>
      <c r="B111" s="12" t="inlineStr">
        <is>
          <t>CC610210</t>
        </is>
      </c>
      <c r="C111" s="13" t="n">
        <v>75</v>
      </c>
      <c r="D111" s="13" t="n">
        <v>75</v>
      </c>
      <c r="E111" s="12" t="inlineStr">
        <is>
          <t>MALE</t>
        </is>
      </c>
      <c r="F111" s="12" t="inlineStr">
        <is>
          <t>71.94-85.17</t>
        </is>
      </c>
      <c r="G111" s="12" t="n">
        <v>5</v>
      </c>
      <c r="H111" s="14">
        <f>IF(COUNTIF('Selected 10'!$A$2:$A$11,A111)&gt;0,"YES","")</f>
        <v/>
      </c>
    </row>
    <row r="112">
      <c r="A112" s="11" t="inlineStr">
        <is>
          <t>sub-CC610288</t>
        </is>
      </c>
      <c r="B112" s="12" t="inlineStr">
        <is>
          <t>CC610288</t>
        </is>
      </c>
      <c r="C112" s="13" t="n">
        <v>69.92</v>
      </c>
      <c r="D112" s="13" t="n">
        <v>69</v>
      </c>
      <c r="E112" s="12" t="inlineStr">
        <is>
          <t>MALE</t>
        </is>
      </c>
      <c r="F112" s="12" t="inlineStr">
        <is>
          <t>58.70-71.94</t>
        </is>
      </c>
      <c r="G112" s="12" t="n">
        <v>4</v>
      </c>
      <c r="H112" s="14">
        <f>IF(COUNTIF('Selected 10'!$A$2:$A$11,A112)&gt;0,"YES","")</f>
        <v/>
      </c>
    </row>
    <row r="113">
      <c r="A113" s="11" t="inlineStr">
        <is>
          <t>sub-CC610469</t>
        </is>
      </c>
      <c r="B113" s="12" t="inlineStr">
        <is>
          <t>CC610469</t>
        </is>
      </c>
      <c r="C113" s="13" t="n">
        <v>73</v>
      </c>
      <c r="D113" s="13" t="n">
        <v>73</v>
      </c>
      <c r="E113" s="12" t="inlineStr">
        <is>
          <t>FEMALE</t>
        </is>
      </c>
      <c r="F113" s="12" t="inlineStr">
        <is>
          <t>71.94-85.17</t>
        </is>
      </c>
      <c r="G113" s="12" t="n">
        <v>5</v>
      </c>
      <c r="H113" s="14">
        <f>IF(COUNTIF('Selected 10'!$A$2:$A$11,A113)&gt;0,"YES","")</f>
        <v/>
      </c>
    </row>
    <row r="114">
      <c r="A114" s="11" t="inlineStr">
        <is>
          <t>sub-CC610496</t>
        </is>
      </c>
      <c r="B114" s="12" t="inlineStr">
        <is>
          <t>CC610496</t>
        </is>
      </c>
      <c r="C114" s="13" t="n">
        <v>70.08</v>
      </c>
      <c r="D114" s="13" t="n">
        <v>70</v>
      </c>
      <c r="E114" s="12" t="inlineStr">
        <is>
          <t>MALE</t>
        </is>
      </c>
      <c r="F114" s="12" t="inlineStr">
        <is>
          <t>58.70-71.94</t>
        </is>
      </c>
      <c r="G114" s="12" t="n">
        <v>4</v>
      </c>
      <c r="H114" s="14">
        <f>IF(COUNTIF('Selected 10'!$A$2:$A$11,A114)&gt;0,"YES","")</f>
        <v/>
      </c>
    </row>
    <row r="115">
      <c r="A115" s="11" t="inlineStr">
        <is>
          <t>sub-CC610575</t>
        </is>
      </c>
      <c r="B115" s="12" t="inlineStr">
        <is>
          <t>CC610575</t>
        </is>
      </c>
      <c r="C115" s="13" t="n">
        <v>71.25</v>
      </c>
      <c r="D115" s="13" t="n">
        <v>71</v>
      </c>
      <c r="E115" s="12" t="inlineStr">
        <is>
          <t>FEMALE</t>
        </is>
      </c>
      <c r="F115" s="12" t="inlineStr">
        <is>
          <t>58.70-71.94</t>
        </is>
      </c>
      <c r="G115" s="12" t="n">
        <v>4</v>
      </c>
      <c r="H115" s="14">
        <f>IF(COUNTIF('Selected 10'!$A$2:$A$11,A115)&gt;0,"YES","")</f>
        <v/>
      </c>
    </row>
    <row r="116">
      <c r="A116" s="11" t="inlineStr">
        <is>
          <t>sub-CC610594</t>
        </is>
      </c>
      <c r="B116" s="12" t="inlineStr">
        <is>
          <t>CC610594</t>
        </is>
      </c>
      <c r="C116" s="13" t="n">
        <v>69.92</v>
      </c>
      <c r="D116" s="13" t="n">
        <v>69</v>
      </c>
      <c r="E116" s="12" t="inlineStr">
        <is>
          <t>FEMALE</t>
        </is>
      </c>
      <c r="F116" s="12" t="inlineStr">
        <is>
          <t>58.70-71.94</t>
        </is>
      </c>
      <c r="G116" s="12" t="n">
        <v>4</v>
      </c>
      <c r="H116" s="14">
        <f>IF(COUNTIF('Selected 10'!$A$2:$A$11,A116)&gt;0,"YES","")</f>
        <v/>
      </c>
    </row>
    <row r="117">
      <c r="A117" s="11" t="inlineStr">
        <is>
          <t>sub-CC610631</t>
        </is>
      </c>
      <c r="B117" s="12" t="inlineStr">
        <is>
          <t>CC610631</t>
        </is>
      </c>
      <c r="C117" s="13" t="n">
        <v>77.58</v>
      </c>
      <c r="D117" s="13" t="n">
        <v>77</v>
      </c>
      <c r="E117" s="12" t="inlineStr">
        <is>
          <t>FEMALE</t>
        </is>
      </c>
      <c r="F117" s="12" t="inlineStr">
        <is>
          <t>71.94-85.17</t>
        </is>
      </c>
      <c r="G117" s="12" t="n">
        <v>5</v>
      </c>
      <c r="H117" s="14">
        <f>IF(COUNTIF('Selected 10'!$A$2:$A$11,A117)&gt;0,"YES","")</f>
        <v/>
      </c>
    </row>
    <row r="118">
      <c r="A118" s="11" t="inlineStr">
        <is>
          <t>sub-CC610671</t>
        </is>
      </c>
      <c r="B118" s="12" t="inlineStr">
        <is>
          <t>CC610671</t>
        </is>
      </c>
      <c r="C118" s="13" t="n">
        <v>70</v>
      </c>
      <c r="D118" s="13" t="n">
        <v>70</v>
      </c>
      <c r="E118" s="12" t="inlineStr">
        <is>
          <t>FEMALE</t>
        </is>
      </c>
      <c r="F118" s="12" t="inlineStr">
        <is>
          <t>58.70-71.94</t>
        </is>
      </c>
      <c r="G118" s="12" t="n">
        <v>4</v>
      </c>
      <c r="H118" s="14">
        <f>IF(COUNTIF('Selected 10'!$A$2:$A$11,A118)&gt;0,"YES","")</f>
        <v/>
      </c>
    </row>
    <row r="119">
      <c r="A119" s="11" t="inlineStr">
        <is>
          <t>sub-CC620106</t>
        </is>
      </c>
      <c r="B119" s="12" t="inlineStr">
        <is>
          <t>CC620106</t>
        </is>
      </c>
      <c r="C119" s="13" t="n">
        <v>71.42</v>
      </c>
      <c r="D119" s="13" t="n">
        <v>71</v>
      </c>
      <c r="E119" s="12" t="inlineStr">
        <is>
          <t>FEMALE</t>
        </is>
      </c>
      <c r="F119" s="12" t="inlineStr">
        <is>
          <t>58.70-71.94</t>
        </is>
      </c>
      <c r="G119" s="12" t="n">
        <v>4</v>
      </c>
      <c r="H119" s="14">
        <f>IF(COUNTIF('Selected 10'!$A$2:$A$11,A119)&gt;0,"YES","")</f>
        <v/>
      </c>
    </row>
    <row r="120">
      <c r="A120" s="11" t="inlineStr">
        <is>
          <t>sub-CC620118</t>
        </is>
      </c>
      <c r="B120" s="12" t="inlineStr">
        <is>
          <t>CC620118</t>
        </is>
      </c>
      <c r="C120" s="13" t="n">
        <v>71.42</v>
      </c>
      <c r="D120" s="13" t="n">
        <v>71</v>
      </c>
      <c r="E120" s="12" t="inlineStr">
        <is>
          <t>FEMALE</t>
        </is>
      </c>
      <c r="F120" s="12" t="inlineStr">
        <is>
          <t>58.70-71.94</t>
        </is>
      </c>
      <c r="G120" s="12" t="n">
        <v>4</v>
      </c>
      <c r="H120" s="14">
        <f>IF(COUNTIF('Selected 10'!$A$2:$A$11,A120)&gt;0,"YES","")</f>
        <v/>
      </c>
    </row>
    <row r="121">
      <c r="A121" s="11" t="inlineStr">
        <is>
          <t>sub-CC620284</t>
        </is>
      </c>
      <c r="B121" s="12" t="inlineStr">
        <is>
          <t>CC620284</t>
        </is>
      </c>
      <c r="C121" s="13" t="n">
        <v>75.92</v>
      </c>
      <c r="D121" s="13" t="n">
        <v>75</v>
      </c>
      <c r="E121" s="12" t="inlineStr">
        <is>
          <t>FEMALE</t>
        </is>
      </c>
      <c r="F121" s="12" t="inlineStr">
        <is>
          <t>71.94-85.17</t>
        </is>
      </c>
      <c r="G121" s="12" t="n">
        <v>5</v>
      </c>
      <c r="H121" s="14">
        <f>IF(COUNTIF('Selected 10'!$A$2:$A$11,A121)&gt;0,"YES","")</f>
        <v/>
      </c>
    </row>
    <row r="122">
      <c r="A122" s="11" t="inlineStr">
        <is>
          <t>sub-CC620314</t>
        </is>
      </c>
      <c r="B122" s="12" t="inlineStr">
        <is>
          <t>CC620314</t>
        </is>
      </c>
      <c r="C122" s="13" t="n">
        <v>74.5</v>
      </c>
      <c r="D122" s="13" t="n">
        <v>74</v>
      </c>
      <c r="E122" s="12" t="inlineStr">
        <is>
          <t>FEMALE</t>
        </is>
      </c>
      <c r="F122" s="12" t="inlineStr">
        <is>
          <t>71.94-85.17</t>
        </is>
      </c>
      <c r="G122" s="12" t="n">
        <v>5</v>
      </c>
      <c r="H122" s="14">
        <f>IF(COUNTIF('Selected 10'!$A$2:$A$11,A122)&gt;0,"YES","")</f>
        <v/>
      </c>
    </row>
    <row r="123">
      <c r="A123" s="11" t="inlineStr">
        <is>
          <t>sub-CC620359</t>
        </is>
      </c>
      <c r="B123" s="12" t="inlineStr">
        <is>
          <t>CC620359</t>
        </is>
      </c>
      <c r="C123" s="13" t="n">
        <v>69</v>
      </c>
      <c r="D123" s="13" t="n">
        <v>68</v>
      </c>
      <c r="E123" s="12" t="inlineStr">
        <is>
          <t>MALE</t>
        </is>
      </c>
      <c r="F123" s="12" t="inlineStr">
        <is>
          <t>58.70-71.94</t>
        </is>
      </c>
      <c r="G123" s="12" t="n">
        <v>4</v>
      </c>
      <c r="H123" s="14">
        <f>IF(COUNTIF('Selected 10'!$A$2:$A$11,A123)&gt;0,"YES","")</f>
        <v/>
      </c>
    </row>
    <row r="124">
      <c r="A124" s="11" t="inlineStr">
        <is>
          <t>sub-CC620413</t>
        </is>
      </c>
      <c r="B124" s="12" t="inlineStr">
        <is>
          <t>CC620413</t>
        </is>
      </c>
      <c r="C124" s="13" t="n">
        <v>76.33</v>
      </c>
      <c r="D124" s="13" t="n">
        <v>76</v>
      </c>
      <c r="E124" s="12" t="inlineStr">
        <is>
          <t>MALE</t>
        </is>
      </c>
      <c r="F124" s="12" t="inlineStr">
        <is>
          <t>71.94-85.17</t>
        </is>
      </c>
      <c r="G124" s="12" t="n">
        <v>5</v>
      </c>
      <c r="H124" s="14">
        <f>IF(COUNTIF('Selected 10'!$A$2:$A$11,A124)&gt;0,"YES","")</f>
        <v/>
      </c>
    </row>
    <row r="125">
      <c r="A125" s="11" t="inlineStr">
        <is>
          <t>sub-CC620499</t>
        </is>
      </c>
      <c r="B125" s="12" t="inlineStr">
        <is>
          <t>CC620499</t>
        </is>
      </c>
      <c r="C125" s="13" t="n">
        <v>71.17</v>
      </c>
      <c r="D125" s="13" t="n">
        <v>71</v>
      </c>
      <c r="E125" s="12" t="inlineStr">
        <is>
          <t>MALE</t>
        </is>
      </c>
      <c r="F125" s="12" t="inlineStr">
        <is>
          <t>58.70-71.94</t>
        </is>
      </c>
      <c r="G125" s="12" t="n">
        <v>4</v>
      </c>
      <c r="H125" s="14">
        <f>IF(COUNTIF('Selected 10'!$A$2:$A$11,A125)&gt;0,"YES","")</f>
        <v/>
      </c>
    </row>
    <row r="126">
      <c r="A126" s="11" t="inlineStr">
        <is>
          <t>sub-CC620567</t>
        </is>
      </c>
      <c r="B126" s="12" t="inlineStr">
        <is>
          <t>CC620567</t>
        </is>
      </c>
      <c r="C126" s="13" t="n">
        <v>74.42</v>
      </c>
      <c r="D126" s="13" t="n">
        <v>74</v>
      </c>
      <c r="E126" s="12" t="inlineStr">
        <is>
          <t>MALE</t>
        </is>
      </c>
      <c r="F126" s="12" t="inlineStr">
        <is>
          <t>71.94-85.17</t>
        </is>
      </c>
      <c r="G126" s="12" t="n">
        <v>5</v>
      </c>
      <c r="H126" s="14">
        <f>IF(COUNTIF('Selected 10'!$A$2:$A$11,A126)&gt;0,"YES","")</f>
        <v/>
      </c>
    </row>
    <row r="127">
      <c r="A127" s="11" t="inlineStr">
        <is>
          <t>sub-CC620610</t>
        </is>
      </c>
      <c r="B127" s="12" t="inlineStr">
        <is>
          <t>CC620610</t>
        </is>
      </c>
      <c r="C127" s="13" t="n">
        <v>76.17</v>
      </c>
      <c r="D127" s="13" t="n">
        <v>76</v>
      </c>
      <c r="E127" s="12" t="inlineStr">
        <is>
          <t>MALE</t>
        </is>
      </c>
      <c r="F127" s="12" t="inlineStr">
        <is>
          <t>71.94-85.17</t>
        </is>
      </c>
      <c r="G127" s="12" t="n">
        <v>5</v>
      </c>
      <c r="H127" s="14">
        <f>IF(COUNTIF('Selected 10'!$A$2:$A$11,A127)&gt;0,"YES","")</f>
        <v/>
      </c>
    </row>
    <row r="128">
      <c r="A128" s="11" t="inlineStr">
        <is>
          <t>sub-CC620659</t>
        </is>
      </c>
      <c r="B128" s="12" t="inlineStr">
        <is>
          <t>CC620659</t>
        </is>
      </c>
      <c r="C128" s="13" t="n">
        <v>71.42</v>
      </c>
      <c r="D128" s="13" t="n">
        <v>71</v>
      </c>
      <c r="E128" s="12" t="inlineStr">
        <is>
          <t>FEMALE</t>
        </is>
      </c>
      <c r="F128" s="12" t="inlineStr">
        <is>
          <t>58.70-71.94</t>
        </is>
      </c>
      <c r="G128" s="12" t="n">
        <v>4</v>
      </c>
      <c r="H128" s="14">
        <f>IF(COUNTIF('Selected 10'!$A$2:$A$11,A128)&gt;0,"YES","")</f>
        <v/>
      </c>
    </row>
    <row r="129">
      <c r="A129" s="11" t="inlineStr">
        <is>
          <t>sub-CC621080</t>
        </is>
      </c>
      <c r="B129" s="12" t="inlineStr">
        <is>
          <t>CC621080</t>
        </is>
      </c>
      <c r="C129" s="13" t="n">
        <v>70.67</v>
      </c>
      <c r="D129" s="13" t="n">
        <v>70</v>
      </c>
      <c r="E129" s="12" t="inlineStr">
        <is>
          <t>MALE</t>
        </is>
      </c>
      <c r="F129" s="12" t="inlineStr">
        <is>
          <t>58.70-71.94</t>
        </is>
      </c>
      <c r="G129" s="12" t="n">
        <v>4</v>
      </c>
      <c r="H129" s="14">
        <f>IF(COUNTIF('Selected 10'!$A$2:$A$11,A129)&gt;0,"YES","")</f>
        <v/>
      </c>
    </row>
    <row r="130">
      <c r="A130" s="11" t="inlineStr">
        <is>
          <t>sub-CC711245</t>
        </is>
      </c>
      <c r="B130" s="12" t="inlineStr">
        <is>
          <t>CC711245</t>
        </is>
      </c>
      <c r="C130" s="13" t="n">
        <v>85.17</v>
      </c>
      <c r="D130" s="13" t="n">
        <v>85</v>
      </c>
      <c r="E130" s="12" t="inlineStr">
        <is>
          <t>MALE</t>
        </is>
      </c>
      <c r="F130" s="12" t="inlineStr">
        <is>
          <t>71.94-85.17</t>
        </is>
      </c>
      <c r="G130" s="12" t="n">
        <v>5</v>
      </c>
      <c r="H130" s="14">
        <f>IF(COUNTIF('Selected 10'!$A$2:$A$11,A130)&gt;0,"YES","")</f>
        <v/>
      </c>
    </row>
    <row r="131">
      <c r="A131" s="11" t="inlineStr">
        <is>
          <t>sub-CC720685</t>
        </is>
      </c>
      <c r="B131" s="12" t="inlineStr">
        <is>
          <t>CC720685</t>
        </is>
      </c>
      <c r="C131" s="13" t="n">
        <v>81.67</v>
      </c>
      <c r="D131" s="13" t="n">
        <v>81</v>
      </c>
      <c r="E131" s="12" t="inlineStr">
        <is>
          <t>MALE</t>
        </is>
      </c>
      <c r="F131" s="12" t="inlineStr">
        <is>
          <t>71.94-85.17</t>
        </is>
      </c>
      <c r="G131" s="12" t="n">
        <v>5</v>
      </c>
      <c r="H131" s="14">
        <f>IF(COUNTIF('Selected 10'!$A$2:$A$11,A131)&gt;0,"YES","")</f>
        <v/>
      </c>
    </row>
    <row r="132">
      <c r="A132" s="11" t="inlineStr">
        <is>
          <t>sub-CC720941</t>
        </is>
      </c>
      <c r="B132" s="12" t="inlineStr">
        <is>
          <t>CC720941</t>
        </is>
      </c>
      <c r="C132" s="13" t="n">
        <v>79.17</v>
      </c>
      <c r="D132" s="13" t="n">
        <v>79</v>
      </c>
      <c r="E132" s="12" t="inlineStr">
        <is>
          <t>MALE</t>
        </is>
      </c>
      <c r="F132" s="12" t="inlineStr">
        <is>
          <t>71.94-85.17</t>
        </is>
      </c>
      <c r="G132" s="12" t="n">
        <v>5</v>
      </c>
      <c r="H132" s="14">
        <f>IF(COUNTIF('Selected 10'!$A$2:$A$11,A132)&gt;0,"YES","")</f>
        <v/>
      </c>
    </row>
    <row r="133">
      <c r="A133" s="11" t="inlineStr">
        <is>
          <t>sub-CC721504</t>
        </is>
      </c>
      <c r="B133" s="12" t="inlineStr">
        <is>
          <t>CC721504</t>
        </is>
      </c>
      <c r="C133" s="13" t="n">
        <v>82.92</v>
      </c>
      <c r="D133" s="13" t="n">
        <v>82</v>
      </c>
      <c r="E133" s="12" t="inlineStr">
        <is>
          <t>MALE</t>
        </is>
      </c>
      <c r="F133" s="12" t="inlineStr">
        <is>
          <t>71.94-85.17</t>
        </is>
      </c>
      <c r="G133" s="12" t="n">
        <v>5</v>
      </c>
      <c r="H133" s="14">
        <f>IF(COUNTIF('Selected 10'!$A$2:$A$11,A133)&gt;0,"YES","")</f>
        <v/>
      </c>
    </row>
  </sheetData>
  <autoFilter ref="A1:H133"/>
  <conditionalFormatting sqref="A2:H133">
    <cfRule type="expression" priority="1" dxfId="0">
      <formula>$H2="YES"</formula>
    </cfRule>
  </conditionalFormatting>
  <pageMargins left="0.75" right="0.75" top="1" bottom="1" header="0.5" footer="0.5"/>
  <pageSetup orientation="landscape" paperSize="1" fitToHeight="0" fitToWidth="1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I31"/>
  <sheetViews>
    <sheetView showGridLines="0" zoomScale="9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2" customWidth="1" min="2" max="2"/>
    <col width="12" customWidth="1" min="3" max="3"/>
    <col width="9" customWidth="1" min="4" max="4"/>
    <col width="19" customWidth="1" min="5" max="5"/>
    <col width="13" customWidth="1" min="6" max="6"/>
    <col width="14" customWidth="1" min="7" max="7"/>
    <col width="12" customWidth="1" min="8" max="8"/>
    <col width="12" customWidth="1" min="9" max="9"/>
  </cols>
  <sheetData>
    <row r="1">
      <c r="A1" s="2" t="inlineStr">
        <is>
          <t>Age Band</t>
        </is>
      </c>
      <c r="B1" s="2" t="inlineStr">
        <is>
          <t>Band Index</t>
        </is>
      </c>
      <c r="C1" s="2" t="inlineStr">
        <is>
          <t>Sex</t>
        </is>
      </c>
      <c r="D1" s="2" t="inlineStr">
        <is>
          <t>Rank</t>
        </is>
      </c>
      <c r="E1" s="2" t="inlineStr">
        <is>
          <t>Subject ID</t>
        </is>
      </c>
      <c r="F1" s="2" t="inlineStr">
        <is>
          <t>Precise Age</t>
        </is>
      </c>
      <c r="G1" s="2" t="inlineStr">
        <is>
          <t>Band Center</t>
        </is>
      </c>
      <c r="H1" s="2" t="inlineStr">
        <is>
          <t>Distance</t>
        </is>
      </c>
      <c r="I1" s="2" t="inlineStr">
        <is>
          <t>Selected</t>
        </is>
      </c>
    </row>
    <row r="2">
      <c r="A2" s="15" t="inlineStr">
        <is>
          <t>19.00-32.23</t>
        </is>
      </c>
      <c r="B2" s="16" t="n">
        <v>1</v>
      </c>
      <c r="C2" s="16" t="inlineStr">
        <is>
          <t>FEMALE</t>
        </is>
      </c>
      <c r="D2" s="16" t="n">
        <v>1</v>
      </c>
      <c r="E2" s="16" t="inlineStr">
        <is>
          <t>sub-CC110174</t>
        </is>
      </c>
      <c r="F2" s="17" t="n">
        <v>26</v>
      </c>
      <c r="G2" s="17" t="n">
        <v>25.617</v>
      </c>
      <c r="H2" s="17" t="n">
        <v>0.3829999999999991</v>
      </c>
      <c r="I2" s="16" t="inlineStr">
        <is>
          <t>YES</t>
        </is>
      </c>
    </row>
    <row r="3">
      <c r="A3" s="15" t="inlineStr">
        <is>
          <t>19.00-32.23</t>
        </is>
      </c>
      <c r="B3" s="16" t="n">
        <v>1</v>
      </c>
      <c r="C3" s="16" t="inlineStr">
        <is>
          <t>FEMALE</t>
        </is>
      </c>
      <c r="D3" s="16" t="n">
        <v>2</v>
      </c>
      <c r="E3" s="16" t="inlineStr">
        <is>
          <t>sub-CC120276</t>
        </is>
      </c>
      <c r="F3" s="17" t="n">
        <v>23.08</v>
      </c>
      <c r="G3" s="17" t="n">
        <v>25.617</v>
      </c>
      <c r="H3" s="17" t="n">
        <v>2.537000000000003</v>
      </c>
      <c r="I3" s="16" t="inlineStr">
        <is>
          <t>NO</t>
        </is>
      </c>
    </row>
    <row r="4">
      <c r="A4" s="15" t="inlineStr">
        <is>
          <t>19.00-32.23</t>
        </is>
      </c>
      <c r="B4" s="16" t="n">
        <v>1</v>
      </c>
      <c r="C4" s="16" t="inlineStr">
        <is>
          <t>FEMALE</t>
        </is>
      </c>
      <c r="D4" s="16" t="n">
        <v>3</v>
      </c>
      <c r="E4" s="16" t="inlineStr">
        <is>
          <t>sub-CC121158</t>
        </is>
      </c>
      <c r="F4" s="17" t="n">
        <v>28.42</v>
      </c>
      <c r="G4" s="17" t="n">
        <v>25.617</v>
      </c>
      <c r="H4" s="17" t="n">
        <v>2.803000000000001</v>
      </c>
      <c r="I4" s="16" t="inlineStr">
        <is>
          <t>NO</t>
        </is>
      </c>
    </row>
    <row r="5">
      <c r="A5" s="15" t="inlineStr">
        <is>
          <t>19.00-32.23</t>
        </is>
      </c>
      <c r="B5" s="16" t="n">
        <v>1</v>
      </c>
      <c r="C5" s="16" t="inlineStr">
        <is>
          <t>MALE</t>
        </is>
      </c>
      <c r="D5" s="16" t="n">
        <v>1</v>
      </c>
      <c r="E5" s="16" t="inlineStr">
        <is>
          <t>sub-CC121144</t>
        </is>
      </c>
      <c r="F5" s="17" t="n">
        <v>26</v>
      </c>
      <c r="G5" s="17" t="n">
        <v>25.617</v>
      </c>
      <c r="H5" s="17" t="n">
        <v>0.3829999999999991</v>
      </c>
      <c r="I5" s="16" t="inlineStr">
        <is>
          <t>YES</t>
        </is>
      </c>
    </row>
    <row r="6">
      <c r="A6" s="15" t="inlineStr">
        <is>
          <t>19.00-32.23</t>
        </is>
      </c>
      <c r="B6" s="16" t="n">
        <v>1</v>
      </c>
      <c r="C6" s="16" t="inlineStr">
        <is>
          <t>MALE</t>
        </is>
      </c>
      <c r="D6" s="16" t="n">
        <v>2</v>
      </c>
      <c r="E6" s="16" t="inlineStr">
        <is>
          <t>sub-CC122172</t>
        </is>
      </c>
      <c r="F6" s="17" t="n">
        <v>27</v>
      </c>
      <c r="G6" s="17" t="n">
        <v>25.617</v>
      </c>
      <c r="H6" s="17" t="n">
        <v>1.382999999999999</v>
      </c>
      <c r="I6" s="16" t="inlineStr">
        <is>
          <t>NO</t>
        </is>
      </c>
    </row>
    <row r="7">
      <c r="A7" s="15" t="inlineStr">
        <is>
          <t>19.00-32.23</t>
        </is>
      </c>
      <c r="B7" s="16" t="n">
        <v>1</v>
      </c>
      <c r="C7" s="16" t="inlineStr">
        <is>
          <t>MALE</t>
        </is>
      </c>
      <c r="D7" s="16" t="n">
        <v>3</v>
      </c>
      <c r="E7" s="16" t="inlineStr">
        <is>
          <t>sub-CC122405</t>
        </is>
      </c>
      <c r="F7" s="17" t="n">
        <v>27.08</v>
      </c>
      <c r="G7" s="17" t="n">
        <v>25.617</v>
      </c>
      <c r="H7" s="17" t="n">
        <v>1.462999999999997</v>
      </c>
      <c r="I7" s="16" t="inlineStr">
        <is>
          <t>NO</t>
        </is>
      </c>
    </row>
    <row r="8">
      <c r="A8" s="15" t="inlineStr">
        <is>
          <t>32.23-45.47</t>
        </is>
      </c>
      <c r="B8" s="16" t="n">
        <v>2</v>
      </c>
      <c r="C8" s="16" t="inlineStr">
        <is>
          <t>FEMALE</t>
        </is>
      </c>
      <c r="D8" s="16" t="n">
        <v>1</v>
      </c>
      <c r="E8" s="16" t="inlineStr">
        <is>
          <t>sub-CC310407</t>
        </is>
      </c>
      <c r="F8" s="17" t="n">
        <v>39</v>
      </c>
      <c r="G8" s="17" t="n">
        <v>38.851</v>
      </c>
      <c r="H8" s="17" t="n">
        <v>0.1490000000000009</v>
      </c>
      <c r="I8" s="16" t="inlineStr">
        <is>
          <t>YES</t>
        </is>
      </c>
    </row>
    <row r="9">
      <c r="A9" s="15" t="inlineStr">
        <is>
          <t>32.23-45.47</t>
        </is>
      </c>
      <c r="B9" s="16" t="n">
        <v>2</v>
      </c>
      <c r="C9" s="16" t="inlineStr">
        <is>
          <t>FEMALE</t>
        </is>
      </c>
      <c r="D9" s="16" t="n">
        <v>2</v>
      </c>
      <c r="E9" s="16" t="inlineStr">
        <is>
          <t>sub-CC221002</t>
        </is>
      </c>
      <c r="F9" s="17" t="n">
        <v>38</v>
      </c>
      <c r="G9" s="17" t="n">
        <v>38.851</v>
      </c>
      <c r="H9" s="17" t="n">
        <v>0.8509999999999991</v>
      </c>
      <c r="I9" s="16" t="inlineStr">
        <is>
          <t>NO</t>
        </is>
      </c>
    </row>
    <row r="10">
      <c r="A10" s="15" t="inlineStr">
        <is>
          <t>32.23-45.47</t>
        </is>
      </c>
      <c r="B10" s="16" t="n">
        <v>2</v>
      </c>
      <c r="C10" s="16" t="inlineStr">
        <is>
          <t>FEMALE</t>
        </is>
      </c>
      <c r="D10" s="16" t="n">
        <v>3</v>
      </c>
      <c r="E10" s="16" t="inlineStr">
        <is>
          <t>sub-CC221220</t>
        </is>
      </c>
      <c r="F10" s="17" t="n">
        <v>37.67</v>
      </c>
      <c r="G10" s="17" t="n">
        <v>38.851</v>
      </c>
      <c r="H10" s="17" t="n">
        <v>1.180999999999997</v>
      </c>
      <c r="I10" s="16" t="inlineStr">
        <is>
          <t>NO</t>
        </is>
      </c>
    </row>
    <row r="11">
      <c r="A11" s="15" t="inlineStr">
        <is>
          <t>32.23-45.47</t>
        </is>
      </c>
      <c r="B11" s="16" t="n">
        <v>2</v>
      </c>
      <c r="C11" s="16" t="inlineStr">
        <is>
          <t>MALE</t>
        </is>
      </c>
      <c r="D11" s="16" t="n">
        <v>1</v>
      </c>
      <c r="E11" s="16" t="inlineStr">
        <is>
          <t>sub-CC320616</t>
        </is>
      </c>
      <c r="F11" s="17" t="n">
        <v>39.08</v>
      </c>
      <c r="G11" s="17" t="n">
        <v>38.851</v>
      </c>
      <c r="H11" s="17" t="n">
        <v>0.2289999999999992</v>
      </c>
      <c r="I11" s="16" t="inlineStr">
        <is>
          <t>YES</t>
        </is>
      </c>
    </row>
    <row r="12">
      <c r="A12" s="15" t="inlineStr">
        <is>
          <t>32.23-45.47</t>
        </is>
      </c>
      <c r="B12" s="16" t="n">
        <v>2</v>
      </c>
      <c r="C12" s="16" t="inlineStr">
        <is>
          <t>MALE</t>
        </is>
      </c>
      <c r="D12" s="16" t="n">
        <v>2</v>
      </c>
      <c r="E12" s="16" t="inlineStr">
        <is>
          <t>sub-CC221031</t>
        </is>
      </c>
      <c r="F12" s="17" t="n">
        <v>38.33</v>
      </c>
      <c r="G12" s="17" t="n">
        <v>38.851</v>
      </c>
      <c r="H12" s="17" t="n">
        <v>0.5210000000000008</v>
      </c>
      <c r="I12" s="16" t="inlineStr">
        <is>
          <t>NO</t>
        </is>
      </c>
    </row>
    <row r="13">
      <c r="A13" s="15" t="inlineStr">
        <is>
          <t>32.23-45.47</t>
        </is>
      </c>
      <c r="B13" s="16" t="n">
        <v>2</v>
      </c>
      <c r="C13" s="16" t="inlineStr">
        <is>
          <t>MALE</t>
        </is>
      </c>
      <c r="D13" s="16" t="n">
        <v>3</v>
      </c>
      <c r="E13" s="16" t="inlineStr">
        <is>
          <t>sub-CC222496</t>
        </is>
      </c>
      <c r="F13" s="17" t="n">
        <v>38</v>
      </c>
      <c r="G13" s="17" t="n">
        <v>38.851</v>
      </c>
      <c r="H13" s="17" t="n">
        <v>0.8509999999999991</v>
      </c>
      <c r="I13" s="16" t="inlineStr">
        <is>
          <t>NO</t>
        </is>
      </c>
    </row>
    <row r="14">
      <c r="A14" s="15" t="inlineStr">
        <is>
          <t>45.47-58.70</t>
        </is>
      </c>
      <c r="B14" s="16" t="n">
        <v>3</v>
      </c>
      <c r="C14" s="16" t="inlineStr">
        <is>
          <t>FEMALE</t>
        </is>
      </c>
      <c r="D14" s="16" t="n">
        <v>1</v>
      </c>
      <c r="E14" s="16" t="inlineStr">
        <is>
          <t>sub-CC420071</t>
        </is>
      </c>
      <c r="F14" s="17" t="n">
        <v>52.58</v>
      </c>
      <c r="G14" s="17" t="n">
        <v>52.085</v>
      </c>
      <c r="H14" s="17" t="n">
        <v>0.4949999999999974</v>
      </c>
      <c r="I14" s="16" t="inlineStr">
        <is>
          <t>YES</t>
        </is>
      </c>
    </row>
    <row r="15">
      <c r="A15" s="15" t="inlineStr">
        <is>
          <t>45.47-58.70</t>
        </is>
      </c>
      <c r="B15" s="16" t="n">
        <v>3</v>
      </c>
      <c r="C15" s="16" t="inlineStr">
        <is>
          <t>FEMALE</t>
        </is>
      </c>
      <c r="D15" s="16" t="n">
        <v>2</v>
      </c>
      <c r="E15" s="16" t="inlineStr">
        <is>
          <t>sub-CC410182</t>
        </is>
      </c>
      <c r="F15" s="17" t="n">
        <v>53.33</v>
      </c>
      <c r="G15" s="17" t="n">
        <v>52.085</v>
      </c>
      <c r="H15" s="17" t="n">
        <v>1.244999999999997</v>
      </c>
      <c r="I15" s="16" t="inlineStr">
        <is>
          <t>NO</t>
        </is>
      </c>
    </row>
    <row r="16">
      <c r="A16" s="15" t="inlineStr">
        <is>
          <t>45.47-58.70</t>
        </is>
      </c>
      <c r="B16" s="16" t="n">
        <v>3</v>
      </c>
      <c r="C16" s="16" t="inlineStr">
        <is>
          <t>FEMALE</t>
        </is>
      </c>
      <c r="D16" s="16" t="n">
        <v>3</v>
      </c>
      <c r="E16" s="16" t="inlineStr">
        <is>
          <t>sub-CC420260</t>
        </is>
      </c>
      <c r="F16" s="17" t="n">
        <v>50.67</v>
      </c>
      <c r="G16" s="17" t="n">
        <v>52.085</v>
      </c>
      <c r="H16" s="17" t="n">
        <v>1.414999999999999</v>
      </c>
      <c r="I16" s="16" t="inlineStr">
        <is>
          <t>NO</t>
        </is>
      </c>
    </row>
    <row r="17">
      <c r="A17" s="15" t="inlineStr">
        <is>
          <t>45.47-58.70</t>
        </is>
      </c>
      <c r="B17" s="16" t="n">
        <v>3</v>
      </c>
      <c r="C17" s="16" t="inlineStr">
        <is>
          <t>MALE</t>
        </is>
      </c>
      <c r="D17" s="16" t="n">
        <v>1</v>
      </c>
      <c r="E17" s="16" t="inlineStr">
        <is>
          <t>sub-CC410432</t>
        </is>
      </c>
      <c r="F17" s="17" t="n">
        <v>52.58</v>
      </c>
      <c r="G17" s="17" t="n">
        <v>52.085</v>
      </c>
      <c r="H17" s="17" t="n">
        <v>0.4949999999999974</v>
      </c>
      <c r="I17" s="16" t="inlineStr">
        <is>
          <t>YES</t>
        </is>
      </c>
    </row>
    <row r="18">
      <c r="A18" s="15" t="inlineStr">
        <is>
          <t>45.47-58.70</t>
        </is>
      </c>
      <c r="B18" s="16" t="n">
        <v>3</v>
      </c>
      <c r="C18" s="16" t="inlineStr">
        <is>
          <t>MALE</t>
        </is>
      </c>
      <c r="D18" s="16" t="n">
        <v>2</v>
      </c>
      <c r="E18" s="16" t="inlineStr">
        <is>
          <t>sub-CC420075</t>
        </is>
      </c>
      <c r="F18" s="17" t="n">
        <v>52.83</v>
      </c>
      <c r="G18" s="17" t="n">
        <v>52.085</v>
      </c>
      <c r="H18" s="17" t="n">
        <v>0.7449999999999974</v>
      </c>
      <c r="I18" s="16" t="inlineStr">
        <is>
          <t>NO</t>
        </is>
      </c>
    </row>
    <row r="19">
      <c r="A19" s="15" t="inlineStr">
        <is>
          <t>45.47-58.70</t>
        </is>
      </c>
      <c r="B19" s="16" t="n">
        <v>3</v>
      </c>
      <c r="C19" s="16" t="inlineStr">
        <is>
          <t>MALE</t>
        </is>
      </c>
      <c r="D19" s="16" t="n">
        <v>3</v>
      </c>
      <c r="E19" s="16" t="inlineStr">
        <is>
          <t>sub-CC310385</t>
        </is>
      </c>
      <c r="F19" s="17" t="n">
        <v>48.75</v>
      </c>
      <c r="G19" s="17" t="n">
        <v>52.085</v>
      </c>
      <c r="H19" s="17" t="n">
        <v>3.335000000000001</v>
      </c>
      <c r="I19" s="16" t="inlineStr">
        <is>
          <t>NO</t>
        </is>
      </c>
    </row>
    <row r="20">
      <c r="A20" s="15" t="inlineStr">
        <is>
          <t>58.70-71.94</t>
        </is>
      </c>
      <c r="B20" s="16" t="n">
        <v>4</v>
      </c>
      <c r="C20" s="16" t="inlineStr">
        <is>
          <t>FEMALE</t>
        </is>
      </c>
      <c r="D20" s="16" t="n">
        <v>1</v>
      </c>
      <c r="E20" s="16" t="inlineStr">
        <is>
          <t>sub-CC520083</t>
        </is>
      </c>
      <c r="F20" s="17" t="n">
        <v>65.08</v>
      </c>
      <c r="G20" s="17" t="n">
        <v>65.319</v>
      </c>
      <c r="H20" s="17" t="n">
        <v>0.2390000000000043</v>
      </c>
      <c r="I20" s="16" t="inlineStr">
        <is>
          <t>YES</t>
        </is>
      </c>
    </row>
    <row r="21">
      <c r="A21" s="15" t="inlineStr">
        <is>
          <t>58.70-71.94</t>
        </is>
      </c>
      <c r="B21" s="16" t="n">
        <v>4</v>
      </c>
      <c r="C21" s="16" t="inlineStr">
        <is>
          <t>FEMALE</t>
        </is>
      </c>
      <c r="D21" s="16" t="n">
        <v>2</v>
      </c>
      <c r="E21" s="16" t="inlineStr">
        <is>
          <t>sub-CC510415</t>
        </is>
      </c>
      <c r="F21" s="17" t="n">
        <v>64.17</v>
      </c>
      <c r="G21" s="17" t="n">
        <v>65.319</v>
      </c>
      <c r="H21" s="17" t="n">
        <v>1.149000000000001</v>
      </c>
      <c r="I21" s="16" t="inlineStr">
        <is>
          <t>NO</t>
        </is>
      </c>
    </row>
    <row r="22">
      <c r="A22" s="15" t="inlineStr">
        <is>
          <t>58.70-71.94</t>
        </is>
      </c>
      <c r="B22" s="16" t="n">
        <v>4</v>
      </c>
      <c r="C22" s="16" t="inlineStr">
        <is>
          <t>FEMALE</t>
        </is>
      </c>
      <c r="D22" s="16" t="n">
        <v>3</v>
      </c>
      <c r="E22" s="16" t="inlineStr">
        <is>
          <t>sub-CC520147</t>
        </is>
      </c>
      <c r="F22" s="17" t="n">
        <v>61.33</v>
      </c>
      <c r="G22" s="17" t="n">
        <v>65.319</v>
      </c>
      <c r="H22" s="17" t="n">
        <v>3.989000000000004</v>
      </c>
      <c r="I22" s="16" t="inlineStr">
        <is>
          <t>NO</t>
        </is>
      </c>
    </row>
    <row r="23">
      <c r="A23" s="15" t="inlineStr">
        <is>
          <t>58.70-71.94</t>
        </is>
      </c>
      <c r="B23" s="16" t="n">
        <v>4</v>
      </c>
      <c r="C23" s="16" t="inlineStr">
        <is>
          <t>MALE</t>
        </is>
      </c>
      <c r="D23" s="16" t="n">
        <v>1</v>
      </c>
      <c r="E23" s="16" t="inlineStr">
        <is>
          <t>sub-CC520127</t>
        </is>
      </c>
      <c r="F23" s="17" t="n">
        <v>66</v>
      </c>
      <c r="G23" s="17" t="n">
        <v>65.319</v>
      </c>
      <c r="H23" s="17" t="n">
        <v>0.6809999999999974</v>
      </c>
      <c r="I23" s="16" t="inlineStr">
        <is>
          <t>YES</t>
        </is>
      </c>
    </row>
    <row r="24">
      <c r="A24" s="15" t="inlineStr">
        <is>
          <t>58.70-71.94</t>
        </is>
      </c>
      <c r="B24" s="16" t="n">
        <v>4</v>
      </c>
      <c r="C24" s="16" t="inlineStr">
        <is>
          <t>MALE</t>
        </is>
      </c>
      <c r="D24" s="16" t="n">
        <v>2</v>
      </c>
      <c r="E24" s="16" t="inlineStr">
        <is>
          <t>sub-CC520552</t>
        </is>
      </c>
      <c r="F24" s="17" t="n">
        <v>64.58</v>
      </c>
      <c r="G24" s="17" t="n">
        <v>65.319</v>
      </c>
      <c r="H24" s="17" t="n">
        <v>0.7390000000000043</v>
      </c>
      <c r="I24" s="16" t="inlineStr">
        <is>
          <t>NO</t>
        </is>
      </c>
    </row>
    <row r="25">
      <c r="A25" s="15" t="inlineStr">
        <is>
          <t>58.70-71.94</t>
        </is>
      </c>
      <c r="B25" s="16" t="n">
        <v>4</v>
      </c>
      <c r="C25" s="16" t="inlineStr">
        <is>
          <t>MALE</t>
        </is>
      </c>
      <c r="D25" s="16" t="n">
        <v>3</v>
      </c>
      <c r="E25" s="16" t="inlineStr">
        <is>
          <t>sub-CC520477</t>
        </is>
      </c>
      <c r="F25" s="17" t="n">
        <v>66.25</v>
      </c>
      <c r="G25" s="17" t="n">
        <v>65.319</v>
      </c>
      <c r="H25" s="17" t="n">
        <v>0.9309999999999974</v>
      </c>
      <c r="I25" s="16" t="inlineStr">
        <is>
          <t>NO</t>
        </is>
      </c>
    </row>
    <row r="26">
      <c r="A26" s="15" t="inlineStr">
        <is>
          <t>71.94-85.17</t>
        </is>
      </c>
      <c r="B26" s="16" t="n">
        <v>5</v>
      </c>
      <c r="C26" s="16" t="inlineStr">
        <is>
          <t>FEMALE</t>
        </is>
      </c>
      <c r="D26" s="16" t="n">
        <v>1</v>
      </c>
      <c r="E26" s="16" t="inlineStr">
        <is>
          <t>sub-CC610631</t>
        </is>
      </c>
      <c r="F26" s="17" t="n">
        <v>77.58</v>
      </c>
      <c r="G26" s="17" t="n">
        <v>78.553</v>
      </c>
      <c r="H26" s="17" t="n">
        <v>0.972999999999999</v>
      </c>
      <c r="I26" s="16" t="inlineStr">
        <is>
          <t>YES</t>
        </is>
      </c>
    </row>
    <row r="27">
      <c r="A27" s="15" t="inlineStr">
        <is>
          <t>71.94-85.17</t>
        </is>
      </c>
      <c r="B27" s="16" t="n">
        <v>5</v>
      </c>
      <c r="C27" s="16" t="inlineStr">
        <is>
          <t>FEMALE</t>
        </is>
      </c>
      <c r="D27" s="16" t="n">
        <v>2</v>
      </c>
      <c r="E27" s="16" t="inlineStr">
        <is>
          <t>sub-CC610061</t>
        </is>
      </c>
      <c r="F27" s="17" t="n">
        <v>76.92</v>
      </c>
      <c r="G27" s="17" t="n">
        <v>78.553</v>
      </c>
      <c r="H27" s="17" t="n">
        <v>1.632999999999996</v>
      </c>
      <c r="I27" s="16" t="inlineStr">
        <is>
          <t>NO</t>
        </is>
      </c>
    </row>
    <row r="28">
      <c r="A28" s="15" t="inlineStr">
        <is>
          <t>71.94-85.17</t>
        </is>
      </c>
      <c r="B28" s="16" t="n">
        <v>5</v>
      </c>
      <c r="C28" s="16" t="inlineStr">
        <is>
          <t>FEMALE</t>
        </is>
      </c>
      <c r="D28" s="16" t="n">
        <v>3</v>
      </c>
      <c r="E28" s="16" t="inlineStr">
        <is>
          <t>sub-CC620284</t>
        </is>
      </c>
      <c r="F28" s="17" t="n">
        <v>75.92</v>
      </c>
      <c r="G28" s="17" t="n">
        <v>78.553</v>
      </c>
      <c r="H28" s="17" t="n">
        <v>2.632999999999996</v>
      </c>
      <c r="I28" s="16" t="inlineStr">
        <is>
          <t>NO</t>
        </is>
      </c>
    </row>
    <row r="29">
      <c r="A29" s="15" t="inlineStr">
        <is>
          <t>71.94-85.17</t>
        </is>
      </c>
      <c r="B29" s="16" t="n">
        <v>5</v>
      </c>
      <c r="C29" s="16" t="inlineStr">
        <is>
          <t>MALE</t>
        </is>
      </c>
      <c r="D29" s="16" t="n">
        <v>1</v>
      </c>
      <c r="E29" s="16" t="inlineStr">
        <is>
          <t>sub-CC720941</t>
        </is>
      </c>
      <c r="F29" s="17" t="n">
        <v>79.17</v>
      </c>
      <c r="G29" s="17" t="n">
        <v>78.553</v>
      </c>
      <c r="H29" s="17" t="n">
        <v>0.6170000000000044</v>
      </c>
      <c r="I29" s="16" t="inlineStr">
        <is>
          <t>YES</t>
        </is>
      </c>
    </row>
    <row r="30">
      <c r="A30" s="15" t="inlineStr">
        <is>
          <t>71.94-85.17</t>
        </is>
      </c>
      <c r="B30" s="16" t="n">
        <v>5</v>
      </c>
      <c r="C30" s="16" t="inlineStr">
        <is>
          <t>MALE</t>
        </is>
      </c>
      <c r="D30" s="16" t="n">
        <v>2</v>
      </c>
      <c r="E30" s="16" t="inlineStr">
        <is>
          <t>sub-CC620413</t>
        </is>
      </c>
      <c r="F30" s="17" t="n">
        <v>76.33</v>
      </c>
      <c r="G30" s="17" t="n">
        <v>78.553</v>
      </c>
      <c r="H30" s="17" t="n">
        <v>2.222999999999999</v>
      </c>
      <c r="I30" s="16" t="inlineStr">
        <is>
          <t>NO</t>
        </is>
      </c>
    </row>
    <row r="31">
      <c r="A31" s="15" t="inlineStr">
        <is>
          <t>71.94-85.17</t>
        </is>
      </c>
      <c r="B31" s="16" t="n">
        <v>5</v>
      </c>
      <c r="C31" s="16" t="inlineStr">
        <is>
          <t>MALE</t>
        </is>
      </c>
      <c r="D31" s="16" t="n">
        <v>3</v>
      </c>
      <c r="E31" s="16" t="inlineStr">
        <is>
          <t>sub-CC620610</t>
        </is>
      </c>
      <c r="F31" s="17" t="n">
        <v>76.17</v>
      </c>
      <c r="G31" s="17" t="n">
        <v>78.553</v>
      </c>
      <c r="H31" s="17" t="n">
        <v>2.382999999999996</v>
      </c>
      <c r="I31" s="16" t="inlineStr">
        <is>
          <t>NO</t>
        </is>
      </c>
    </row>
  </sheetData>
  <autoFilter ref="A1:I31"/>
  <conditionalFormatting sqref="A2:I31">
    <cfRule type="expression" priority="1" dxfId="0">
      <formula>$I2="YES"</formula>
    </cfRule>
  </conditionalFormatting>
  <pageMargins left="0.75" right="0.75" top="1" bottom="1" header="0.5" footer="0.5"/>
  <pageSetup orientation="landscape" paperSize="1" fitToHeight="0" fitToWidth="1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8"/>
  <sheetViews>
    <sheetView showGridLines="0" zoomScale="9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86" customWidth="1" min="2" max="2"/>
    <col width="68" customWidth="1" min="3" max="3"/>
    <col width="42" customWidth="1" min="4" max="4"/>
  </cols>
  <sheetData>
    <row r="1">
      <c r="A1" s="2" t="inlineStr">
        <is>
          <t>Source</t>
        </is>
      </c>
      <c r="B1" s="2" t="inlineStr">
        <is>
          <t>Path</t>
        </is>
      </c>
      <c r="C1" s="2" t="inlineStr">
        <is>
          <t>SHA-256</t>
        </is>
      </c>
      <c r="D1" s="2" t="inlineStr">
        <is>
          <t>Use</t>
        </is>
      </c>
    </row>
    <row r="2">
      <c r="A2" s="18" t="inlineStr">
        <is>
          <t>Approved final-132 list</t>
        </is>
      </c>
      <c r="B2" s="18" t="inlineStr">
        <is>
          <t>/home/boyan/sandbox/TI_Pipeline/SimNIBS/Scripts/CamCan_Experiment/cohort_pipeline/cohorts/final_132/subjects.txt</t>
        </is>
      </c>
      <c r="C2" s="18" t="inlineStr">
        <is>
          <t>522e5085f4eee25cd4a2c01ad9ca885b5a214333c8da38dec9f918c965d4f607</t>
        </is>
      </c>
      <c r="D2" s="18" t="inlineStr">
        <is>
          <t>Eligibility gate</t>
        </is>
      </c>
    </row>
    <row r="3">
      <c r="A3" s="18" t="inlineStr">
        <is>
          <t>CamCAN workbook</t>
        </is>
      </c>
      <c r="B3" s="18" t="inlineStr">
        <is>
          <t>/home/boyan/sandbox/tmp/dataman/useraccess/opendata/layla_kouara_camcan01924/CamCAN (1).xlsx</t>
        </is>
      </c>
      <c r="C3" s="18" t="inlineStr">
        <is>
          <t>3db7da48f56ad96e45d43e86fca15a5258a57bae23415b73778f9faeb4b02d8a</t>
        </is>
      </c>
      <c r="D3" s="18" t="inlineStr">
        <is>
          <t>Age/sex validation; integer age</t>
        </is>
      </c>
    </row>
    <row r="4">
      <c r="A4" s="18" t="inlineStr">
        <is>
          <t>Precise demographics CSV</t>
        </is>
      </c>
      <c r="B4" s="18" t="inlineStr">
        <is>
          <t>/home/boyan/sandbox/tmp/dataman/useraccess/opendata/layla_kouara_camcan01924/standard_data.csv</t>
        </is>
      </c>
      <c r="C4" s="18" t="inlineStr">
        <is>
          <t>2c72303f82617349bd64c1a44ade6a62cc61e8a593215bf0cc5c63802af4b510</t>
        </is>
      </c>
      <c r="D4" s="18" t="inlineStr">
        <is>
          <t>Primary age ranking and sex</t>
        </is>
      </c>
    </row>
    <row r="5">
      <c r="A5" s="18" t="inlineStr">
        <is>
          <t>Old repeatability config</t>
        </is>
      </c>
      <c r="B5" s="18" t="inlineStr">
        <is>
          <t>/home/boyan/sandbox/TI_Pipeline/SimNIBS/Scripts/mesh_repeat_analysis/paired_repeatability_experiment.example.json</t>
        </is>
      </c>
      <c r="C5" s="18" t="inlineStr">
        <is>
          <t>3e2af42f1d94ff3fcbd8357866f42a72e38fed50ea85e04c00f19414d447d2ed</t>
        </is>
      </c>
      <c r="D5" s="18" t="inlineStr">
        <is>
          <t>Old/new overlap audit</t>
        </is>
      </c>
    </row>
    <row r="8">
      <c r="A8" s="19" t="inlineStr">
        <is>
          <t>Selection logic</t>
        </is>
      </c>
      <c r="B8" s="20" t="inlineStr">
        <is>
          <t>Five equal-width bands across the final-132 precise age range; one female and one male nearest each band center; ties by lower age then subject ID.</t>
        </is>
      </c>
    </row>
  </sheetData>
  <pageMargins left="0.75" right="0.75" top="1" bottom="1" header="0.5" footer="0.5"/>
  <pageSetup orientation="landscape" paperSize="1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2026-07-26T22:02:52Z</dcterms:created>
  <dcterms:modified xmlns:dcterms="http://purl.org/dc/terms/" xmlns:xsi="http://www.w3.org/2001/XMLSchema-instance" xsi:type="dcterms:W3CDTF">2026-07-26T22:02:52Z</dcterms:modified>
</cp:coreProperties>
</file>